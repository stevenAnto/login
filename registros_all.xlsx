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X DIA" sheetId="1" state="visible" r:id="rId2"/>
    <sheet name="LIBRO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<sst xmlns="http://schemas.openxmlformats.org/spreadsheetml/2006/main" count="441" uniqueCount="111">
  <si>
    <t xml:space="preserve">DIA</t>
  </si>
  <si>
    <t xml:space="preserve">ALEJANDRO</t>
  </si>
  <si>
    <t xml:space="preserve">ANGELES</t>
  </si>
  <si>
    <t xml:space="preserve">BRIDYET</t>
  </si>
  <si>
    <t xml:space="preserve">ESTEVEN</t>
  </si>
  <si>
    <t xml:space="preserve">JENYFFER</t>
  </si>
  <si>
    <t xml:space="preserve">JORGE</t>
  </si>
  <si>
    <t xml:space="preserve">LOURDES</t>
  </si>
  <si>
    <t xml:space="preserve">MARILIA</t>
  </si>
  <si>
    <t xml:space="preserve">MILAGROS</t>
  </si>
  <si>
    <t xml:space="preserve">STEPHANIE</t>
  </si>
  <si>
    <t xml:space="preserve">avalenciap@unsa.edu.pe</t>
  </si>
  <si>
    <t xml:space="preserve">allerenav@unsa.edu.pe</t>
  </si>
  <si>
    <t xml:space="preserve">avargaslop@unsa.edu.pe</t>
  </si>
  <si>
    <t xml:space="preserve">ecalcinap@unsa.edu.pe</t>
  </si>
  <si>
    <t xml:space="preserve">jpezo@unsa.edu.pe</t>
  </si>
  <si>
    <t xml:space="preserve">	joquispequi@unsa.edu.pe</t>
  </si>
  <si>
    <t xml:space="preserve">lvasquezmu@unsa.edu.pe</t>
  </si>
  <si>
    <t xml:space="preserve">	mchambipe@unsa.edu.pe</t>
  </si>
  <si>
    <t xml:space="preserve">	sgodoyp@unsa.edu.pe</t>
  </si>
  <si>
    <t xml:space="preserve">TOTAL MES AGOSTO</t>
  </si>
  <si>
    <t xml:space="preserve">TOTAL MES SEPTIEMBRE</t>
  </si>
  <si>
    <t xml:space="preserve">TOTAL MES OCTUBRE</t>
  </si>
  <si>
    <t xml:space="preserve">TOTAL MES NOVIEMBRE</t>
  </si>
  <si>
    <t xml:space="preserve">TOTAL MES DICIEMBRE</t>
  </si>
  <si>
    <t xml:space="preserve">AÑO</t>
  </si>
  <si>
    <t xml:space="preserve">LIBRO</t>
  </si>
  <si>
    <t xml:space="preserve">ENCARGADO</t>
  </si>
  <si>
    <t xml:space="preserve">REGISTROS</t>
  </si>
  <si>
    <t xml:space="preserve">ESTADO</t>
  </si>
  <si>
    <t xml:space="preserve">R</t>
  </si>
  <si>
    <t xml:space="preserve">AN-AC-CI-OB-SI / ENERO 1997</t>
  </si>
  <si>
    <t xml:space="preserve">TERMINADO</t>
  </si>
  <si>
    <t xml:space="preserve">ü</t>
  </si>
  <si>
    <t xml:space="preserve">AN-AC-CI-OB-SI / FEBRERO 1997</t>
  </si>
  <si>
    <t xml:space="preserve">PENDIENTE</t>
  </si>
  <si>
    <t xml:space="preserve">AN-AC-CI-OB-SI / MARZO 1997</t>
  </si>
  <si>
    <t xml:space="preserve">EN PROCESO</t>
  </si>
  <si>
    <t xml:space="preserve">AN-AC-CI / ABRIL 1997</t>
  </si>
  <si>
    <t xml:space="preserve">PLANILLA F.</t>
  </si>
  <si>
    <t xml:space="preserve">AN-AC-CI / MAYO 1997</t>
  </si>
  <si>
    <t xml:space="preserve">AN-AC-CI / JUNIO 1997</t>
  </si>
  <si>
    <t xml:space="preserve">AN-AC-CI / JULIO 1997</t>
  </si>
  <si>
    <t xml:space="preserve">AN-AC-CI / AGOSTO 1997</t>
  </si>
  <si>
    <t xml:space="preserve">AN-AC-CI / SETIEMBRE 1997</t>
  </si>
  <si>
    <t xml:space="preserve">AN-AC-CI-CP / OCTUBRE 1997</t>
  </si>
  <si>
    <t xml:space="preserve">AN-AC-CI-CP / NOVIEMBRE 1997</t>
  </si>
  <si>
    <t xml:space="preserve">AN-AC-CI-CP / DICIEMBRE 1997</t>
  </si>
  <si>
    <t xml:space="preserve">1996 ADM NOMB / ENE A MAR</t>
  </si>
  <si>
    <t xml:space="preserve">1996 ADM NOMB / ABR A JUN</t>
  </si>
  <si>
    <t xml:space="preserve">1996 ADM NOMB / JUL A SET</t>
  </si>
  <si>
    <t xml:space="preserve">1996 ADM NOMB / OCT A DIC</t>
  </si>
  <si>
    <t xml:space="preserve">1996 ADM CONT / ENE A JUN</t>
  </si>
  <si>
    <t xml:space="preserve">1996 ADM CONT / JUL A DIC</t>
  </si>
  <si>
    <t xml:space="preserve">1996 CI-OB-SI / ENE A JUN</t>
  </si>
  <si>
    <t xml:space="preserve">1996 CI-OB-SI / JUL A DIC</t>
  </si>
  <si>
    <t xml:space="preserve">1995 ADM NOMB / ENE-FEB-MAR</t>
  </si>
  <si>
    <t xml:space="preserve">1995 ADM NOMB / ABRIL</t>
  </si>
  <si>
    <t xml:space="preserve">1995 ADM NOMB / MAY-JUN</t>
  </si>
  <si>
    <t xml:space="preserve">1995 ADM NOMB / JUL-AGO-SET</t>
  </si>
  <si>
    <t xml:space="preserve">1995 ADM NOMB / OCT-NOV-DIC</t>
  </si>
  <si>
    <t xml:space="preserve">1995 ADM CONT / ENE-DIC</t>
  </si>
  <si>
    <t xml:space="preserve">1995 OBRE-SERV.INTER. / ENE-DIC</t>
  </si>
  <si>
    <t xml:space="preserve">1995 CONT INV / NOV-DIC</t>
  </si>
  <si>
    <t xml:space="preserve">1994 ADM NOM / ENE-MAR</t>
  </si>
  <si>
    <t xml:space="preserve">1994 ADM NOM / ABR-JUN</t>
  </si>
  <si>
    <t xml:space="preserve">1994 ADM NOM / JUL-SET</t>
  </si>
  <si>
    <t xml:space="preserve">1994 ADM NOM / OCT-DIC</t>
  </si>
  <si>
    <t xml:space="preserve">1994 ADM CONT / ENE-DIC</t>
  </si>
  <si>
    <t xml:space="preserve">1994 CI - SI - OB / ENE-DIC</t>
  </si>
  <si>
    <t xml:space="preserve">1993 ADM NOM / ENE-MAR</t>
  </si>
  <si>
    <t xml:space="preserve">1993 ADM NOM / ABR-JUN</t>
  </si>
  <si>
    <t xml:space="preserve">1993 ADM NOM / JUL-SET</t>
  </si>
  <si>
    <t xml:space="preserve">1993 ADM NOM / OCT-DIC</t>
  </si>
  <si>
    <t xml:space="preserve">1993 ADM CONT / ENE-DIC</t>
  </si>
  <si>
    <t xml:space="preserve">1993 OB - SI / ENE-DIC</t>
  </si>
  <si>
    <t xml:space="preserve">1993 CONT INV / ENE-DIC</t>
  </si>
  <si>
    <t xml:space="preserve">1992 ADM NOM / ENE - MAR</t>
  </si>
  <si>
    <t xml:space="preserve">1992 ADM NOM / ABR - JUN</t>
  </si>
  <si>
    <t xml:space="preserve">1992 ADM NOM / JUL - SET</t>
  </si>
  <si>
    <t xml:space="preserve">1992 ADM NOM / OCT - DIC</t>
  </si>
  <si>
    <t xml:space="preserve">STEVEN</t>
  </si>
  <si>
    <t xml:space="preserve">1992 AC - OB / ENE - DIC</t>
  </si>
  <si>
    <t xml:space="preserve">1992 CI / ENE - DIC</t>
  </si>
  <si>
    <t xml:space="preserve">1991 ADM NOM / ENE - MAR</t>
  </si>
  <si>
    <t xml:space="preserve">1991 ADM NOM / ABR - JUN</t>
  </si>
  <si>
    <t xml:space="preserve">1991 ADM NOM / JUL - SET</t>
  </si>
  <si>
    <t xml:space="preserve">1991 ADM NOM / OCT - DIC</t>
  </si>
  <si>
    <t xml:space="preserve">1991 AC ENE - DIC / CI ENE - JUN</t>
  </si>
  <si>
    <t xml:space="preserve">1991 CI JUL - DIC / OB ENE - DIC</t>
  </si>
  <si>
    <t xml:space="preserve">1990 ADM NOM / ENE - MAR</t>
  </si>
  <si>
    <t xml:space="preserve">1990 ADM NOM / ABR - JUN</t>
  </si>
  <si>
    <t xml:space="preserve">1990 ADM NOM / JUL - SET</t>
  </si>
  <si>
    <t xml:space="preserve">1990 ADM NOM / OCT - DIC</t>
  </si>
  <si>
    <t xml:space="preserve">1990 ADM CONT / ENE - DIC</t>
  </si>
  <si>
    <t xml:space="preserve">1990 CI - IF / ENE - DIC</t>
  </si>
  <si>
    <t xml:space="preserve">1990 OBR CON / ENE - DIC</t>
  </si>
  <si>
    <t xml:space="preserve">1990 1991 1992 1993 INST INFO</t>
  </si>
  <si>
    <t xml:space="preserve">1989 AN - ADN ASE / ENE - DIC</t>
  </si>
  <si>
    <t xml:space="preserve">1989 ADM NOM / ENE - DIC</t>
  </si>
  <si>
    <t xml:space="preserve">1989 AN - MAN SI / ENE - DIC</t>
  </si>
  <si>
    <t xml:space="preserve">1989 AN - ADM ACAD / ENE - DIC</t>
  </si>
  <si>
    <t xml:space="preserve">1989 ADM CONT / ENE - DIC</t>
  </si>
  <si>
    <t xml:space="preserve">1989 ADM NOM PS / ENE - DIC</t>
  </si>
  <si>
    <t xml:space="preserve">1989 ADM CI / ENE - DIC</t>
  </si>
  <si>
    <t xml:space="preserve">1989 OB / ENE - DIC</t>
  </si>
  <si>
    <t xml:space="preserve">1989 ADM INF / ENE - DIC</t>
  </si>
  <si>
    <t xml:space="preserve">ADM A-CH 1981</t>
  </si>
  <si>
    <t xml:space="preserve">ADM EV. T-Z A-Z 1981</t>
  </si>
  <si>
    <t xml:space="preserve">ADM M-S 1981</t>
  </si>
  <si>
    <t xml:space="preserve">ADM D-LL 1981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</si>
</sst>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280A]ddd&quot;, &quot;dd&quot; de &quot;mmmm"/>
    <numFmt numFmtId="166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Wingdings"/>
      <family val="0"/>
      <charset val="2"/>
    </font>
  </fonts>
  <fills count="6">
    <fill>
      <patternFill patternType="none"/>
    </fill>
    <fill>
      <patternFill patternType="gray125"/>
    </fill>
    <fill>
      <patternFill patternType="solid">
        <fgColor rgb="FFC3D69B"/>
        <bgColor rgb="FFCCCCFF"/>
      </patternFill>
    </fill>
    <fill>
      <patternFill patternType="solid">
        <fgColor rgb="FFD99694"/>
        <bgColor rgb="FFFF99CC"/>
      </patternFill>
    </fill>
    <fill>
      <patternFill patternType="solid">
        <fgColor rgb="FFFAC090"/>
        <bgColor rgb="FFC3D69B"/>
      </patternFill>
    </fill>
    <fill>
      <patternFill patternType="solid">
        <fgColor rgb="FF93CDDD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valenciap@unsa.edu.pe" TargetMode="External"/><Relationship Id="rId2" Type="http://schemas.openxmlformats.org/officeDocument/2006/relationships/hyperlink" Target="mailto:allerenav@unsa.edu.pe" TargetMode="External"/><Relationship Id="rId3" Type="http://schemas.openxmlformats.org/officeDocument/2006/relationships/hyperlink" Target="mailto:avargaslop@unsa.edu.pe" TargetMode="External"/><Relationship Id="rId4" Type="http://schemas.openxmlformats.org/officeDocument/2006/relationships/hyperlink" Target="mailto:ecalcinap@unsa.edu.pe" TargetMode="External"/><Relationship Id="rId5" Type="http://schemas.openxmlformats.org/officeDocument/2006/relationships/hyperlink" Target="mailto:jpezo@unsa.edu.pe" TargetMode="External"/><Relationship Id="rId6" Type="http://schemas.openxmlformats.org/officeDocument/2006/relationships/hyperlink" Target="mailto:joquispequi@unsa.edu.pe" TargetMode="External"/><Relationship Id="rId7" Type="http://schemas.openxmlformats.org/officeDocument/2006/relationships/hyperlink" Target="mailto:lvasquezmu@unsa.edu.pe" TargetMode="External"/><Relationship Id="rId8" Type="http://schemas.openxmlformats.org/officeDocument/2006/relationships/hyperlink" Target="mailto:mchambipe@unsa.edu.pe" TargetMode="External"/><Relationship Id="rId9" Type="http://schemas.openxmlformats.org/officeDocument/2006/relationships/hyperlink" Target="mailto:sgodoyp@unsa.edu.p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D8" activeCellId="0" sqref="D8"/>
    </sheetView>
  </sheetViews>
  <sheetFormatPr defaultColWidth="10.5390625" defaultRowHeight="13.8" zeroHeight="false" outlineLevelRow="0" outlineLevelCol="0"/>
  <cols>
    <col collapsed="false" customWidth="true" hidden="false" outlineLevel="0" max="1" min="1" style="0" width="22.43"/>
    <col collapsed="false" customWidth="true" hidden="false" outlineLevel="0" max="11" min="2" style="1" width="14.28"/>
    <col collapsed="false" customWidth="true" hidden="false" outlineLevel="0" max="12" min="12" style="0" width="11.43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4.9" hidden="false" customHeight="false" outlineLevel="0" collapsed="false">
      <c r="A2" s="2"/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2" t="s">
        <v>16</v>
      </c>
      <c r="H2" s="2" t="s">
        <v>17</v>
      </c>
      <c r="I2" s="2"/>
      <c r="J2" s="2" t="s">
        <v>18</v>
      </c>
      <c r="K2" s="2" t="s">
        <v>19</v>
      </c>
    </row>
    <row r="3" customFormat="false" ht="13.8" hidden="false" customHeight="false" outlineLevel="0" collapsed="false">
      <c r="A3" s="4" t="n">
        <v>46170</v>
      </c>
      <c r="B3" s="3" t="n">
        <v>80</v>
      </c>
      <c r="C3" s="3" t="n">
        <v>80</v>
      </c>
      <c r="D3" s="3" t="n">
        <v>60</v>
      </c>
      <c r="E3" s="3" t="n">
        <v>94</v>
      </c>
      <c r="F3" s="3" t="n">
        <v>10</v>
      </c>
      <c r="G3" s="3" t="n">
        <v>45</v>
      </c>
      <c r="H3" s="3" t="n">
        <v>10</v>
      </c>
      <c r="I3" s="3" t="n">
        <v>30</v>
      </c>
      <c r="J3" s="3" t="n">
        <v>20</v>
      </c>
      <c r="K3" s="3" t="n">
        <v>46</v>
      </c>
    </row>
    <row r="4" customFormat="false" ht="13.8" hidden="false" customHeight="false" outlineLevel="0" collapsed="false">
      <c r="A4" s="4" t="n">
        <v>46171</v>
      </c>
      <c r="B4" s="3" t="n">
        <v>120</v>
      </c>
      <c r="C4" s="3" t="n">
        <v>75</v>
      </c>
      <c r="D4" s="3" t="n">
        <v>55</v>
      </c>
      <c r="E4" s="3" t="n">
        <v>94</v>
      </c>
      <c r="F4" s="3" t="n">
        <v>48</v>
      </c>
      <c r="G4" s="3" t="n">
        <v>120</v>
      </c>
      <c r="H4" s="3" t="n">
        <v>67</v>
      </c>
      <c r="I4" s="3" t="n">
        <v>70</v>
      </c>
      <c r="J4" s="3" t="n">
        <v>68</v>
      </c>
      <c r="K4" s="3" t="n">
        <v>49</v>
      </c>
    </row>
    <row r="5" customFormat="false" ht="13.8" hidden="false" customHeight="false" outlineLevel="0" collapsed="false">
      <c r="A5" s="4" t="n">
        <v>46174</v>
      </c>
      <c r="B5" s="3" t="n">
        <v>151</v>
      </c>
      <c r="C5" s="3" t="n">
        <v>115</v>
      </c>
      <c r="D5" s="3" t="n">
        <v>75</v>
      </c>
      <c r="E5" s="3" t="n">
        <v>154</v>
      </c>
      <c r="F5" s="3" t="n">
        <v>54</v>
      </c>
      <c r="G5" s="3" t="n">
        <v>129</v>
      </c>
      <c r="H5" s="3" t="n">
        <v>50</v>
      </c>
      <c r="I5" s="3" t="n">
        <v>77</v>
      </c>
      <c r="J5" s="3" t="n">
        <v>82</v>
      </c>
      <c r="K5" s="3" t="n">
        <v>72</v>
      </c>
    </row>
    <row r="6" customFormat="false" ht="13.8" hidden="false" customHeight="false" outlineLevel="0" collapsed="false">
      <c r="A6" s="4" t="n">
        <v>46175</v>
      </c>
      <c r="B6" s="3" t="n">
        <v>150</v>
      </c>
      <c r="C6" s="3" t="n">
        <v>129</v>
      </c>
      <c r="D6" s="3" t="n">
        <v>60</v>
      </c>
      <c r="E6" s="3" t="n">
        <v>155</v>
      </c>
      <c r="F6" s="3" t="n">
        <v>67</v>
      </c>
      <c r="G6" s="3" t="n">
        <v>116</v>
      </c>
      <c r="H6" s="3" t="n">
        <v>75</v>
      </c>
      <c r="I6" s="3" t="n">
        <v>107</v>
      </c>
      <c r="J6" s="3" t="n">
        <v>100</v>
      </c>
      <c r="K6" s="3" t="n">
        <v>89</v>
      </c>
    </row>
    <row r="7" customFormat="false" ht="13.8" hidden="false" customHeight="false" outlineLevel="0" collapsed="false">
      <c r="A7" s="4" t="n">
        <v>46176</v>
      </c>
      <c r="B7" s="3" t="n">
        <v>150</v>
      </c>
      <c r="C7" s="3" t="n">
        <v>90</v>
      </c>
      <c r="D7" s="3" t="n">
        <v>70</v>
      </c>
      <c r="E7" s="3" t="n">
        <v>155</v>
      </c>
      <c r="F7" s="3" t="n">
        <v>69</v>
      </c>
      <c r="G7" s="3" t="n">
        <v>116</v>
      </c>
      <c r="H7" s="3" t="n">
        <v>76</v>
      </c>
      <c r="I7" s="3" t="n">
        <v>100</v>
      </c>
      <c r="J7" s="3" t="n">
        <v>100</v>
      </c>
      <c r="K7" s="3" t="n">
        <v>60</v>
      </c>
    </row>
    <row r="8" customFormat="false" ht="13.8" hidden="false" customHeight="false" outlineLevel="0" collapsed="false">
      <c r="A8" s="4" t="n">
        <v>46177</v>
      </c>
      <c r="B8" s="3" t="n">
        <v>60</v>
      </c>
      <c r="C8" s="3" t="n">
        <v>54</v>
      </c>
      <c r="D8" s="3" t="n">
        <v>44</v>
      </c>
      <c r="E8" s="3" t="n">
        <v>55</v>
      </c>
      <c r="F8" s="3" t="n">
        <v>19</v>
      </c>
      <c r="G8" s="3" t="n">
        <v>32</v>
      </c>
      <c r="H8" s="3" t="n">
        <v>22</v>
      </c>
      <c r="I8" s="3" t="n">
        <v>40</v>
      </c>
      <c r="J8" s="3" t="n">
        <v>35</v>
      </c>
      <c r="K8" s="3" t="n">
        <v>50</v>
      </c>
    </row>
    <row r="9" customFormat="false" ht="13.8" hidden="false" customHeight="false" outlineLevel="0" collapsed="false">
      <c r="A9" s="4" t="n">
        <v>46178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 customFormat="false" ht="13.8" hidden="false" customHeight="false" outlineLevel="0" collapsed="false">
      <c r="A10" s="4" t="n">
        <v>46181</v>
      </c>
      <c r="B10" s="3" t="n">
        <v>153</v>
      </c>
      <c r="C10" s="3" t="n">
        <v>106</v>
      </c>
      <c r="D10" s="3" t="n">
        <v>116</v>
      </c>
      <c r="E10" s="3" t="n">
        <v>180</v>
      </c>
      <c r="F10" s="3" t="n">
        <v>75</v>
      </c>
      <c r="G10" s="3" t="n">
        <v>105</v>
      </c>
      <c r="H10" s="3" t="n">
        <v>100</v>
      </c>
      <c r="I10" s="3" t="n">
        <v>122</v>
      </c>
      <c r="J10" s="3" t="n">
        <v>115</v>
      </c>
      <c r="K10" s="3" t="n">
        <v>100</v>
      </c>
    </row>
    <row r="11" customFormat="false" ht="13.8" hidden="false" customHeight="false" outlineLevel="0" collapsed="false">
      <c r="A11" s="4" t="n">
        <v>46182</v>
      </c>
      <c r="B11" s="3" t="n">
        <v>166</v>
      </c>
      <c r="C11" s="3" t="n">
        <v>142</v>
      </c>
      <c r="D11" s="3" t="n">
        <v>110</v>
      </c>
      <c r="E11" s="3" t="n">
        <v>168</v>
      </c>
      <c r="F11" s="3" t="n">
        <v>84</v>
      </c>
      <c r="G11" s="3" t="n">
        <v>150</v>
      </c>
      <c r="H11" s="3" t="n">
        <v>100</v>
      </c>
      <c r="I11" s="3" t="n">
        <v>108</v>
      </c>
      <c r="J11" s="3" t="n">
        <v>120</v>
      </c>
      <c r="K11" s="3" t="n">
        <v>120</v>
      </c>
    </row>
    <row r="12" customFormat="false" ht="13.8" hidden="false" customHeight="false" outlineLevel="0" collapsed="false">
      <c r="A12" s="4" t="n">
        <v>46183</v>
      </c>
      <c r="B12" s="3" t="n">
        <v>100</v>
      </c>
      <c r="C12" s="3" t="n">
        <v>170</v>
      </c>
      <c r="D12" s="3" t="n">
        <v>85</v>
      </c>
      <c r="E12" s="3" t="n">
        <v>150</v>
      </c>
      <c r="F12" s="3" t="n">
        <v>70</v>
      </c>
      <c r="G12" s="3" t="n">
        <v>111</v>
      </c>
      <c r="H12" s="3" t="n">
        <v>100</v>
      </c>
      <c r="I12" s="3" t="n">
        <v>102</v>
      </c>
      <c r="J12" s="3" t="n">
        <v>115</v>
      </c>
      <c r="K12" s="3" t="n">
        <v>100</v>
      </c>
    </row>
    <row r="13" customFormat="false" ht="13.8" hidden="false" customHeight="false" outlineLevel="0" collapsed="false">
      <c r="A13" s="4" t="n">
        <v>46184</v>
      </c>
      <c r="B13" s="3" t="n">
        <v>100</v>
      </c>
      <c r="C13" s="3" t="n">
        <v>191</v>
      </c>
      <c r="D13" s="3" t="n">
        <v>110</v>
      </c>
      <c r="E13" s="3" t="n">
        <v>100</v>
      </c>
      <c r="F13" s="3" t="n">
        <v>90</v>
      </c>
      <c r="G13" s="3" t="n">
        <v>105</v>
      </c>
      <c r="H13" s="3" t="n">
        <v>100</v>
      </c>
      <c r="I13" s="3" t="n">
        <v>100</v>
      </c>
      <c r="J13" s="3" t="n">
        <v>100</v>
      </c>
      <c r="K13" s="3" t="n">
        <v>65</v>
      </c>
    </row>
    <row r="14" customFormat="false" ht="13.8" hidden="false" customHeight="false" outlineLevel="0" collapsed="false">
      <c r="A14" s="4" t="n">
        <v>46185</v>
      </c>
      <c r="B14" s="3" t="n">
        <v>100</v>
      </c>
      <c r="C14" s="3" t="n">
        <v>233</v>
      </c>
      <c r="D14" s="3" t="n">
        <v>130</v>
      </c>
      <c r="E14" s="3" t="n">
        <v>150</v>
      </c>
      <c r="F14" s="3" t="n">
        <v>85</v>
      </c>
      <c r="G14" s="3" t="n">
        <v>138</v>
      </c>
      <c r="H14" s="3" t="n">
        <v>100</v>
      </c>
      <c r="I14" s="3" t="n">
        <v>111</v>
      </c>
      <c r="J14" s="3" t="n">
        <v>108</v>
      </c>
      <c r="K14" s="3" t="n">
        <v>100</v>
      </c>
    </row>
    <row r="15" customFormat="false" ht="13.8" hidden="false" customHeight="false" outlineLevel="0" collapsed="false">
      <c r="A15" s="4" t="n">
        <v>46188</v>
      </c>
      <c r="B15" s="3" t="n">
        <v>115</v>
      </c>
      <c r="C15" s="3" t="n">
        <v>224</v>
      </c>
      <c r="D15" s="3" t="n">
        <v>115</v>
      </c>
      <c r="E15" s="3" t="n">
        <v>150</v>
      </c>
      <c r="F15" s="3" t="n">
        <v>100</v>
      </c>
      <c r="G15" s="3" t="n">
        <v>150</v>
      </c>
      <c r="H15" s="3" t="n">
        <v>110</v>
      </c>
      <c r="I15" s="3" t="n">
        <v>100</v>
      </c>
      <c r="J15" s="3" t="n">
        <v>108</v>
      </c>
      <c r="K15" s="3" t="n">
        <v>90</v>
      </c>
    </row>
    <row r="16" customFormat="false" ht="13.8" hidden="false" customHeight="false" outlineLevel="0" collapsed="false">
      <c r="A16" s="4" t="n">
        <v>46189</v>
      </c>
      <c r="B16" s="3" t="n">
        <v>180</v>
      </c>
      <c r="C16" s="3" t="n">
        <v>248</v>
      </c>
      <c r="D16" s="3" t="n">
        <v>145</v>
      </c>
      <c r="E16" s="3" t="n">
        <v>150</v>
      </c>
      <c r="F16" s="3" t="n">
        <v>113</v>
      </c>
      <c r="G16" s="3" t="n">
        <v>179</v>
      </c>
      <c r="H16" s="3" t="n">
        <v>97</v>
      </c>
      <c r="I16" s="3" t="n">
        <v>131</v>
      </c>
      <c r="J16" s="3" t="n">
        <v>156</v>
      </c>
      <c r="K16" s="3" t="n">
        <v>143</v>
      </c>
    </row>
    <row r="17" customFormat="false" ht="13.8" hidden="false" customHeight="false" outlineLevel="0" collapsed="false">
      <c r="A17" s="4" t="n">
        <v>46190</v>
      </c>
      <c r="B17" s="3" t="n">
        <v>180</v>
      </c>
      <c r="C17" s="3" t="n">
        <v>223</v>
      </c>
      <c r="D17" s="3" t="n">
        <v>134</v>
      </c>
      <c r="E17" s="3" t="n">
        <v>150</v>
      </c>
      <c r="F17" s="3" t="n">
        <v>130</v>
      </c>
      <c r="G17" s="3" t="n">
        <v>188</v>
      </c>
      <c r="H17" s="3" t="n">
        <v>130</v>
      </c>
      <c r="I17" s="3" t="n">
        <v>156</v>
      </c>
      <c r="J17" s="3" t="n">
        <v>156</v>
      </c>
      <c r="K17" s="3" t="n">
        <v>120</v>
      </c>
    </row>
    <row r="18" customFormat="false" ht="13.8" hidden="false" customHeight="false" outlineLevel="0" collapsed="false">
      <c r="A18" s="4" t="n">
        <v>46191</v>
      </c>
      <c r="B18" s="3" t="n">
        <v>160</v>
      </c>
      <c r="C18" s="3" t="n">
        <v>252</v>
      </c>
      <c r="D18" s="3" t="n">
        <v>160</v>
      </c>
      <c r="E18" s="3" t="n">
        <v>100</v>
      </c>
      <c r="F18" s="3" t="n">
        <v>132</v>
      </c>
      <c r="G18" s="3" t="n">
        <v>192</v>
      </c>
      <c r="H18" s="3" t="n">
        <v>130</v>
      </c>
      <c r="I18" s="3" t="n">
        <v>144</v>
      </c>
      <c r="J18" s="3" t="n">
        <v>156</v>
      </c>
      <c r="K18" s="3" t="n">
        <v>140</v>
      </c>
    </row>
    <row r="19" customFormat="false" ht="13.8" hidden="false" customHeight="false" outlineLevel="0" collapsed="false">
      <c r="A19" s="4" t="n">
        <v>46192</v>
      </c>
      <c r="B19" s="3" t="n">
        <v>150</v>
      </c>
      <c r="C19" s="3" t="n">
        <v>230</v>
      </c>
      <c r="D19" s="3" t="n">
        <v>140</v>
      </c>
      <c r="E19" s="3" t="n">
        <v>150</v>
      </c>
      <c r="F19" s="3" t="n">
        <v>130</v>
      </c>
      <c r="G19" s="3" t="n">
        <v>158</v>
      </c>
      <c r="H19" s="3" t="n">
        <v>130</v>
      </c>
      <c r="I19" s="3" t="n">
        <v>147</v>
      </c>
      <c r="J19" s="3" t="n">
        <v>156</v>
      </c>
      <c r="K19" s="3" t="n">
        <v>120</v>
      </c>
    </row>
    <row r="20" customFormat="false" ht="13.8" hidden="false" customHeight="false" outlineLevel="0" collapsed="false">
      <c r="A20" s="4" t="n">
        <v>46195</v>
      </c>
      <c r="B20" s="2" t="n">
        <v>150</v>
      </c>
      <c r="C20" s="2" t="n">
        <v>198</v>
      </c>
      <c r="D20" s="2" t="n">
        <v>140</v>
      </c>
      <c r="E20" s="2" t="n">
        <v>150</v>
      </c>
      <c r="F20" s="2" t="n">
        <v>150</v>
      </c>
      <c r="G20" s="2" t="n">
        <v>150</v>
      </c>
      <c r="H20" s="2" t="n">
        <v>130</v>
      </c>
      <c r="I20" s="2" t="n">
        <v>177</v>
      </c>
      <c r="J20" s="2" t="n">
        <v>170</v>
      </c>
      <c r="K20" s="2" t="n">
        <v>150</v>
      </c>
    </row>
    <row r="21" customFormat="false" ht="13.8" hidden="false" customHeight="false" outlineLevel="0" collapsed="false">
      <c r="A21" s="4" t="n">
        <v>46196</v>
      </c>
      <c r="B21" s="2" t="n">
        <v>152</v>
      </c>
      <c r="C21" s="2" t="n">
        <v>162</v>
      </c>
      <c r="D21" s="2" t="n">
        <v>155</v>
      </c>
      <c r="E21" s="2" t="n">
        <v>150</v>
      </c>
      <c r="F21" s="2" t="n">
        <v>130</v>
      </c>
      <c r="G21" s="2" t="n">
        <v>155</v>
      </c>
      <c r="H21" s="2" t="n">
        <v>130</v>
      </c>
      <c r="I21" s="2" t="n">
        <v>163</v>
      </c>
      <c r="J21" s="2" t="n">
        <v>160</v>
      </c>
      <c r="K21" s="2" t="n">
        <v>140</v>
      </c>
    </row>
    <row r="22" customFormat="false" ht="13.8" hidden="false" customHeight="false" outlineLevel="0" collapsed="false">
      <c r="A22" s="4" t="n">
        <v>46197</v>
      </c>
      <c r="B22" s="2" t="n">
        <v>150</v>
      </c>
      <c r="C22" s="2" t="n">
        <v>157</v>
      </c>
      <c r="D22" s="2" t="n">
        <v>140</v>
      </c>
      <c r="E22" s="2" t="n">
        <v>150</v>
      </c>
      <c r="F22" s="2" t="n">
        <v>130</v>
      </c>
      <c r="G22" s="2" t="n">
        <v>150</v>
      </c>
      <c r="H22" s="2" t="n">
        <v>0</v>
      </c>
      <c r="I22" s="2" t="n">
        <v>139</v>
      </c>
      <c r="J22" s="2" t="n">
        <v>160</v>
      </c>
      <c r="K22" s="2" t="n">
        <v>0</v>
      </c>
    </row>
    <row r="23" customFormat="false" ht="13.8" hidden="false" customHeight="false" outlineLevel="0" collapsed="false">
      <c r="A23" s="4" t="n">
        <v>46198</v>
      </c>
      <c r="B23" s="2" t="n">
        <v>150</v>
      </c>
      <c r="C23" s="2" t="n">
        <v>185</v>
      </c>
      <c r="D23" s="2" t="n">
        <v>132</v>
      </c>
      <c r="E23" s="2" t="n">
        <v>150</v>
      </c>
      <c r="F23" s="2" t="n">
        <v>130</v>
      </c>
      <c r="G23" s="2" t="n">
        <v>150</v>
      </c>
      <c r="H23" s="2" t="n">
        <v>0</v>
      </c>
      <c r="I23" s="2" t="n">
        <v>160</v>
      </c>
      <c r="J23" s="2" t="n">
        <v>160</v>
      </c>
      <c r="K23" s="2" t="n">
        <v>150</v>
      </c>
    </row>
    <row r="24" customFormat="false" ht="13.8" hidden="false" customHeight="false" outlineLevel="0" collapsed="false">
      <c r="A24" s="4" t="n">
        <v>46199</v>
      </c>
      <c r="B24" s="2" t="n">
        <v>151</v>
      </c>
      <c r="C24" s="2" t="n">
        <v>185</v>
      </c>
      <c r="D24" s="2" t="n">
        <v>135</v>
      </c>
      <c r="E24" s="2" t="n">
        <v>150</v>
      </c>
      <c r="F24" s="2" t="n">
        <v>130</v>
      </c>
      <c r="G24" s="2" t="n">
        <v>150</v>
      </c>
      <c r="H24" s="2" t="n">
        <v>0</v>
      </c>
      <c r="I24" s="2" t="n">
        <v>177</v>
      </c>
      <c r="J24" s="2" t="n">
        <v>156</v>
      </c>
      <c r="K24" s="2" t="n">
        <v>130</v>
      </c>
    </row>
    <row r="25" customFormat="false" ht="13.8" hidden="false" customHeight="false" outlineLevel="0" collapsed="false">
      <c r="A25" s="4" t="n">
        <v>46202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</row>
    <row r="26" customFormat="false" ht="13.8" hidden="false" customHeight="false" outlineLevel="0" collapsed="false">
      <c r="A26" s="4" t="n">
        <v>46203</v>
      </c>
      <c r="B26" s="2" t="n">
        <v>180</v>
      </c>
      <c r="C26" s="2" t="n">
        <v>195</v>
      </c>
      <c r="D26" s="2" t="n">
        <v>152</v>
      </c>
      <c r="E26" s="2" t="n">
        <v>150</v>
      </c>
      <c r="F26" s="2" t="n">
        <v>131</v>
      </c>
      <c r="G26" s="2" t="n">
        <v>150</v>
      </c>
      <c r="H26" s="2" t="n">
        <v>0</v>
      </c>
      <c r="I26" s="2" t="n">
        <v>150</v>
      </c>
      <c r="J26" s="2" t="n">
        <v>156</v>
      </c>
      <c r="K26" s="2" t="n">
        <v>150</v>
      </c>
    </row>
    <row r="27" customFormat="false" ht="13.8" hidden="false" customHeight="false" outlineLevel="0" collapsed="false">
      <c r="A27" s="4" t="n">
        <v>46204</v>
      </c>
      <c r="B27" s="2" t="n">
        <v>180</v>
      </c>
      <c r="C27" s="2" t="n">
        <v>190</v>
      </c>
      <c r="D27" s="2" t="n">
        <v>170</v>
      </c>
      <c r="E27" s="2" t="n">
        <v>150</v>
      </c>
      <c r="F27" s="2" t="n">
        <v>150</v>
      </c>
      <c r="G27" s="2" t="n">
        <v>156</v>
      </c>
      <c r="H27" s="2" t="n">
        <v>171</v>
      </c>
      <c r="I27" s="2" t="n">
        <v>150</v>
      </c>
      <c r="J27" s="2" t="n">
        <v>156</v>
      </c>
      <c r="K27" s="2" t="n">
        <v>150</v>
      </c>
    </row>
    <row r="28" customFormat="false" ht="13.8" hidden="false" customHeight="false" outlineLevel="0" collapsed="false">
      <c r="A28" s="4" t="n">
        <v>46205</v>
      </c>
      <c r="B28" s="2" t="n">
        <v>182</v>
      </c>
      <c r="C28" s="2" t="n">
        <v>190</v>
      </c>
      <c r="D28" s="2" t="n">
        <v>160</v>
      </c>
      <c r="E28" s="2" t="n">
        <v>160</v>
      </c>
      <c r="F28" s="2" t="n">
        <v>157</v>
      </c>
      <c r="G28" s="2" t="n">
        <v>160</v>
      </c>
      <c r="H28" s="2" t="n">
        <v>171</v>
      </c>
      <c r="I28" s="2" t="n">
        <v>150</v>
      </c>
      <c r="J28" s="2" t="n">
        <v>156</v>
      </c>
      <c r="K28" s="2" t="n">
        <v>150</v>
      </c>
    </row>
    <row r="29" customFormat="false" ht="13.8" hidden="false" customHeight="false" outlineLevel="0" collapsed="false">
      <c r="A29" s="4" t="n">
        <v>46206</v>
      </c>
      <c r="B29" s="2" t="n">
        <v>180</v>
      </c>
      <c r="C29" s="2" t="n">
        <v>180</v>
      </c>
      <c r="D29" s="2" t="n">
        <v>162</v>
      </c>
      <c r="E29" s="2" t="n">
        <v>160</v>
      </c>
      <c r="F29" s="2" t="n">
        <v>155</v>
      </c>
      <c r="G29" s="2" t="n">
        <v>155</v>
      </c>
      <c r="H29" s="2" t="n">
        <v>171</v>
      </c>
      <c r="I29" s="2" t="n">
        <v>173</v>
      </c>
      <c r="J29" s="2" t="n">
        <v>156</v>
      </c>
      <c r="K29" s="2" t="n">
        <v>210</v>
      </c>
    </row>
    <row r="30" customFormat="false" ht="13.8" hidden="false" customHeight="false" outlineLevel="0" collapsed="false">
      <c r="A30" s="4" t="n">
        <v>46209</v>
      </c>
      <c r="B30" s="2" t="n">
        <v>180</v>
      </c>
      <c r="C30" s="2" t="n">
        <v>185</v>
      </c>
      <c r="D30" s="2" t="n">
        <v>142</v>
      </c>
      <c r="E30" s="2" t="n">
        <v>160</v>
      </c>
      <c r="F30" s="2" t="n">
        <v>150</v>
      </c>
      <c r="G30" s="2" t="n">
        <v>163</v>
      </c>
      <c r="H30" s="2" t="n">
        <v>171</v>
      </c>
      <c r="I30" s="2" t="n">
        <v>171</v>
      </c>
      <c r="J30" s="2" t="n">
        <v>156</v>
      </c>
      <c r="K30" s="2" t="n">
        <v>200</v>
      </c>
    </row>
    <row r="31" customFormat="false" ht="13.8" hidden="false" customHeight="false" outlineLevel="0" collapsed="false">
      <c r="A31" s="4" t="n">
        <v>46210</v>
      </c>
      <c r="B31" s="2" t="n">
        <v>180</v>
      </c>
      <c r="C31" s="2" t="n">
        <v>185</v>
      </c>
      <c r="D31" s="2" t="n">
        <v>155</v>
      </c>
      <c r="E31" s="2" t="n">
        <v>160</v>
      </c>
      <c r="F31" s="2" t="n">
        <v>150</v>
      </c>
      <c r="G31" s="2" t="n">
        <v>168</v>
      </c>
      <c r="H31" s="2" t="n">
        <v>171</v>
      </c>
      <c r="I31" s="2" t="n">
        <v>171</v>
      </c>
      <c r="J31" s="2" t="n">
        <v>156</v>
      </c>
      <c r="K31" s="2" t="n">
        <v>200</v>
      </c>
    </row>
    <row r="32" customFormat="false" ht="13.8" hidden="false" customHeight="false" outlineLevel="0" collapsed="false">
      <c r="A32" s="4" t="n">
        <v>46211</v>
      </c>
      <c r="B32" s="2" t="n">
        <v>181</v>
      </c>
      <c r="C32" s="2" t="n">
        <v>187</v>
      </c>
      <c r="D32" s="2" t="n">
        <v>170</v>
      </c>
      <c r="E32" s="2" t="n">
        <v>160</v>
      </c>
      <c r="F32" s="2" t="n">
        <v>160</v>
      </c>
      <c r="G32" s="2" t="n">
        <v>170</v>
      </c>
      <c r="H32" s="2" t="n">
        <v>171</v>
      </c>
      <c r="I32" s="2" t="n">
        <v>170</v>
      </c>
      <c r="J32" s="2" t="n">
        <v>156</v>
      </c>
      <c r="K32" s="2" t="n">
        <v>200</v>
      </c>
    </row>
    <row r="33" customFormat="false" ht="13.8" hidden="false" customHeight="false" outlineLevel="0" collapsed="false">
      <c r="A33" s="4" t="n">
        <v>46212</v>
      </c>
      <c r="B33" s="2" t="n">
        <v>180</v>
      </c>
      <c r="C33" s="2" t="n">
        <v>185</v>
      </c>
      <c r="D33" s="2" t="n">
        <v>152</v>
      </c>
      <c r="E33" s="2" t="n">
        <v>160</v>
      </c>
      <c r="F33" s="2" t="n">
        <v>160</v>
      </c>
      <c r="G33" s="2" t="n">
        <v>170</v>
      </c>
      <c r="H33" s="2" t="n">
        <v>171</v>
      </c>
      <c r="I33" s="2" t="n">
        <v>170</v>
      </c>
      <c r="J33" s="2" t="n">
        <v>156</v>
      </c>
      <c r="K33" s="2" t="n">
        <v>160</v>
      </c>
    </row>
    <row r="34" customFormat="false" ht="13.8" hidden="false" customHeight="false" outlineLevel="0" collapsed="false">
      <c r="A34" s="4" t="n">
        <v>46213</v>
      </c>
      <c r="B34" s="2" t="n">
        <v>180</v>
      </c>
      <c r="C34" s="2" t="n">
        <v>185</v>
      </c>
      <c r="D34" s="2" t="n">
        <v>198</v>
      </c>
      <c r="E34" s="2" t="n">
        <v>160</v>
      </c>
      <c r="F34" s="2" t="n">
        <v>160</v>
      </c>
      <c r="G34" s="2" t="n">
        <v>175</v>
      </c>
      <c r="H34" s="2" t="n">
        <v>171</v>
      </c>
      <c r="I34" s="2" t="n">
        <v>158</v>
      </c>
      <c r="J34" s="2" t="n">
        <v>156</v>
      </c>
      <c r="K34" s="2" t="n">
        <v>200</v>
      </c>
    </row>
    <row r="35" customFormat="false" ht="13.8" hidden="false" customHeight="false" outlineLevel="0" collapsed="false">
      <c r="A35" s="4" t="n">
        <v>46216</v>
      </c>
      <c r="B35" s="2" t="n">
        <v>180</v>
      </c>
      <c r="C35" s="2" t="n">
        <v>190</v>
      </c>
      <c r="D35" s="2" t="n">
        <v>153</v>
      </c>
      <c r="E35" s="2" t="n">
        <v>180</v>
      </c>
      <c r="F35" s="2" t="n">
        <v>155</v>
      </c>
      <c r="G35" s="2" t="n">
        <v>180</v>
      </c>
      <c r="H35" s="2" t="n">
        <v>180</v>
      </c>
      <c r="I35" s="2" t="n">
        <v>150</v>
      </c>
      <c r="J35" s="2" t="n">
        <v>170</v>
      </c>
      <c r="K35" s="2" t="n">
        <v>200</v>
      </c>
    </row>
    <row r="36" customFormat="false" ht="13.8" hidden="false" customHeight="false" outlineLevel="0" collapsed="false">
      <c r="A36" s="4" t="n">
        <v>46217</v>
      </c>
      <c r="B36" s="2" t="n">
        <v>182</v>
      </c>
      <c r="C36" s="2" t="n">
        <v>195</v>
      </c>
      <c r="D36" s="2" t="n">
        <v>150</v>
      </c>
      <c r="E36" s="2" t="n">
        <v>180</v>
      </c>
      <c r="F36" s="2" t="n">
        <v>170</v>
      </c>
      <c r="G36" s="2" t="n">
        <v>180</v>
      </c>
      <c r="H36" s="2" t="n">
        <v>180</v>
      </c>
      <c r="I36" s="2" t="n">
        <v>150</v>
      </c>
      <c r="J36" s="2" t="n">
        <v>170</v>
      </c>
      <c r="K36" s="2" t="n">
        <v>175</v>
      </c>
    </row>
    <row r="37" customFormat="false" ht="13.8" hidden="false" customHeight="false" outlineLevel="0" collapsed="false">
      <c r="A37" s="4" t="n">
        <v>46218</v>
      </c>
      <c r="B37" s="2" t="n">
        <v>180</v>
      </c>
      <c r="C37" s="2" t="n">
        <v>203</v>
      </c>
      <c r="D37" s="2" t="n">
        <v>154</v>
      </c>
      <c r="E37" s="2" t="n">
        <v>180</v>
      </c>
      <c r="F37" s="2" t="n">
        <v>155</v>
      </c>
      <c r="G37" s="2" t="n">
        <v>185</v>
      </c>
      <c r="H37" s="2" t="n">
        <v>180</v>
      </c>
      <c r="I37" s="2" t="n">
        <v>150</v>
      </c>
      <c r="J37" s="2" t="n">
        <v>170</v>
      </c>
      <c r="K37" s="2" t="n">
        <v>150</v>
      </c>
    </row>
    <row r="38" customFormat="false" ht="13.8" hidden="false" customHeight="false" outlineLevel="0" collapsed="false">
      <c r="A38" s="4" t="n">
        <v>46219</v>
      </c>
      <c r="B38" s="2" t="n">
        <v>180</v>
      </c>
      <c r="C38" s="2" t="n">
        <v>190</v>
      </c>
      <c r="D38" s="2" t="n">
        <v>138</v>
      </c>
      <c r="E38" s="2" t="n">
        <v>180</v>
      </c>
      <c r="F38" s="2" t="n">
        <v>165</v>
      </c>
      <c r="G38" s="2" t="n">
        <v>185</v>
      </c>
      <c r="H38" s="2" t="n">
        <v>180</v>
      </c>
      <c r="I38" s="2" t="n">
        <v>150</v>
      </c>
      <c r="J38" s="2" t="n">
        <v>170</v>
      </c>
      <c r="K38" s="2" t="n">
        <v>165</v>
      </c>
    </row>
    <row r="39" customFormat="false" ht="13.8" hidden="false" customHeight="false" outlineLevel="0" collapsed="false">
      <c r="A39" s="4" t="n">
        <v>46220</v>
      </c>
      <c r="B39" s="2" t="n">
        <v>180</v>
      </c>
      <c r="C39" s="2" t="n">
        <v>185</v>
      </c>
      <c r="D39" s="2" t="n">
        <v>225</v>
      </c>
      <c r="E39" s="2" t="n">
        <v>200</v>
      </c>
      <c r="F39" s="2" t="n">
        <v>155</v>
      </c>
      <c r="G39" s="2" t="n">
        <v>185</v>
      </c>
      <c r="H39" s="2" t="n">
        <v>180</v>
      </c>
      <c r="I39" s="2" t="n">
        <v>150</v>
      </c>
      <c r="J39" s="2" t="n">
        <v>170</v>
      </c>
      <c r="K39" s="2" t="n">
        <v>180</v>
      </c>
    </row>
    <row r="40" customFormat="false" ht="13.8" hidden="false" customHeight="false" outlineLevel="0" collapsed="false">
      <c r="A40" s="4" t="n">
        <v>46223</v>
      </c>
      <c r="B40" s="2" t="n">
        <v>200</v>
      </c>
      <c r="C40" s="2" t="n">
        <v>200</v>
      </c>
      <c r="D40" s="2" t="n">
        <v>198</v>
      </c>
      <c r="E40" s="2" t="n">
        <v>200</v>
      </c>
      <c r="F40" s="2" t="n">
        <v>180</v>
      </c>
      <c r="G40" s="2" t="n">
        <v>190</v>
      </c>
      <c r="H40" s="2" t="n">
        <v>180</v>
      </c>
      <c r="I40" s="2" t="n">
        <v>170</v>
      </c>
      <c r="J40" s="2" t="n">
        <v>180</v>
      </c>
      <c r="K40" s="2" t="n">
        <v>170</v>
      </c>
    </row>
    <row r="41" customFormat="false" ht="13.8" hidden="false" customHeight="false" outlineLevel="0" collapsed="false">
      <c r="A41" s="4" t="n">
        <v>46224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</row>
    <row r="42" customFormat="false" ht="13.8" hidden="false" customHeight="false" outlineLevel="0" collapsed="false">
      <c r="A42" s="4" t="n">
        <v>46225</v>
      </c>
      <c r="B42" s="2" t="n">
        <v>200</v>
      </c>
      <c r="C42" s="2" t="n">
        <v>200</v>
      </c>
      <c r="D42" s="2" t="n">
        <v>207</v>
      </c>
      <c r="E42" s="2" t="n">
        <v>200</v>
      </c>
      <c r="F42" s="2" t="n">
        <v>180</v>
      </c>
      <c r="G42" s="2" t="n">
        <v>190</v>
      </c>
      <c r="H42" s="2" t="n">
        <v>180</v>
      </c>
      <c r="I42" s="2" t="n">
        <v>170</v>
      </c>
      <c r="J42" s="2" t="n">
        <v>192</v>
      </c>
      <c r="K42" s="2" t="n">
        <v>185</v>
      </c>
    </row>
    <row r="43" customFormat="false" ht="13.8" hidden="false" customHeight="false" outlineLevel="0" collapsed="false">
      <c r="A43" s="4" t="n">
        <v>46226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</row>
    <row r="44" customFormat="false" ht="13.8" hidden="false" customHeight="false" outlineLevel="0" collapsed="false">
      <c r="A44" s="4" t="n">
        <v>46227</v>
      </c>
      <c r="B44" s="2" t="n">
        <v>200</v>
      </c>
      <c r="C44" s="2" t="n">
        <v>200</v>
      </c>
      <c r="D44" s="2" t="n">
        <v>204</v>
      </c>
      <c r="E44" s="2" t="n">
        <v>200</v>
      </c>
      <c r="F44" s="2" t="n">
        <v>180</v>
      </c>
      <c r="G44" s="2" t="n">
        <v>190</v>
      </c>
      <c r="H44" s="2" t="n">
        <v>180</v>
      </c>
      <c r="I44" s="2" t="n">
        <v>170</v>
      </c>
      <c r="J44" s="2" t="n">
        <v>200</v>
      </c>
      <c r="K44" s="2" t="n">
        <v>180</v>
      </c>
    </row>
    <row r="45" customFormat="false" ht="13.8" hidden="false" customHeight="false" outlineLevel="0" collapsed="false">
      <c r="A45" s="4" t="n">
        <v>46230</v>
      </c>
      <c r="B45" s="2" t="n">
        <v>202</v>
      </c>
      <c r="C45" s="2" t="n">
        <v>200</v>
      </c>
      <c r="D45" s="2" t="n">
        <v>152</v>
      </c>
      <c r="E45" s="2" t="n">
        <v>200</v>
      </c>
      <c r="F45" s="2" t="n">
        <v>180</v>
      </c>
      <c r="G45" s="2" t="n">
        <v>190</v>
      </c>
      <c r="H45" s="2" t="n">
        <v>180</v>
      </c>
      <c r="I45" s="2" t="n">
        <v>0</v>
      </c>
      <c r="J45" s="2" t="n">
        <v>200</v>
      </c>
      <c r="K45" s="2" t="n">
        <v>190</v>
      </c>
    </row>
    <row r="46" customFormat="false" ht="13.8" hidden="false" customHeight="false" outlineLevel="0" collapsed="false">
      <c r="A46" s="4" t="n">
        <v>46231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</row>
    <row r="47" customFormat="false" ht="13.8" hidden="false" customHeight="false" outlineLevel="0" collapsed="false">
      <c r="A47" s="4" t="n">
        <v>46232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</row>
    <row r="48" customFormat="false" ht="13.8" hidden="false" customHeight="false" outlineLevel="0" collapsed="false">
      <c r="A48" s="4" t="n">
        <v>46233</v>
      </c>
      <c r="B48" s="2" t="n">
        <v>200</v>
      </c>
      <c r="C48" s="2" t="n">
        <v>200</v>
      </c>
      <c r="D48" s="2" t="n">
        <v>152</v>
      </c>
      <c r="E48" s="2" t="n">
        <v>200</v>
      </c>
      <c r="F48" s="2" t="n">
        <v>185</v>
      </c>
      <c r="G48" s="2" t="n">
        <v>180</v>
      </c>
      <c r="H48" s="2" t="n">
        <v>180</v>
      </c>
      <c r="I48" s="2" t="n">
        <v>0</v>
      </c>
      <c r="J48" s="2" t="n">
        <v>200</v>
      </c>
      <c r="K48" s="2" t="n">
        <v>190</v>
      </c>
    </row>
    <row r="49" customFormat="false" ht="13.8" hidden="false" customHeight="false" outlineLevel="0" collapsed="false">
      <c r="A49" s="4" t="n">
        <v>46234</v>
      </c>
      <c r="B49" s="2" t="n">
        <v>200</v>
      </c>
      <c r="C49" s="2" t="n">
        <v>200</v>
      </c>
      <c r="D49" s="2" t="n">
        <v>0</v>
      </c>
      <c r="E49" s="2" t="n">
        <v>200</v>
      </c>
      <c r="F49" s="2" t="n">
        <v>188</v>
      </c>
      <c r="G49" s="2" t="n">
        <v>150</v>
      </c>
      <c r="H49" s="2" t="n">
        <v>180</v>
      </c>
      <c r="I49" s="2" t="n">
        <v>250</v>
      </c>
      <c r="J49" s="2" t="n">
        <v>203</v>
      </c>
      <c r="K49" s="2" t="n">
        <v>185</v>
      </c>
    </row>
    <row r="50" customFormat="false" ht="13.8" hidden="true" customHeight="false" outlineLevel="0" collapsed="false">
      <c r="A50" s="4" t="n">
        <v>46237</v>
      </c>
      <c r="B50" s="5"/>
      <c r="C50" s="5"/>
      <c r="D50" s="5"/>
      <c r="E50" s="5"/>
      <c r="F50" s="5"/>
      <c r="G50" s="5"/>
      <c r="H50" s="5"/>
      <c r="I50" s="5"/>
      <c r="J50" s="5"/>
      <c r="K50" s="5"/>
    </row>
    <row r="51" customFormat="false" ht="13.8" hidden="true" customHeight="false" outlineLevel="0" collapsed="false">
      <c r="A51" s="4" t="n">
        <v>46238</v>
      </c>
      <c r="B51" s="5"/>
      <c r="C51" s="5"/>
      <c r="D51" s="5"/>
      <c r="E51" s="5"/>
      <c r="F51" s="5"/>
      <c r="G51" s="5"/>
      <c r="H51" s="5"/>
      <c r="I51" s="5"/>
      <c r="J51" s="5"/>
      <c r="K51" s="5"/>
    </row>
    <row r="52" customFormat="false" ht="13.8" hidden="true" customHeight="false" outlineLevel="0" collapsed="false">
      <c r="A52" s="4" t="n">
        <v>46239</v>
      </c>
      <c r="B52" s="5"/>
      <c r="C52" s="5"/>
      <c r="D52" s="5"/>
      <c r="E52" s="5"/>
      <c r="F52" s="5"/>
      <c r="G52" s="5"/>
      <c r="H52" s="5"/>
      <c r="I52" s="5"/>
      <c r="J52" s="5"/>
      <c r="K52" s="5"/>
    </row>
    <row r="53" customFormat="false" ht="13.8" hidden="true" customHeight="false" outlineLevel="0" collapsed="false">
      <c r="A53" s="4" t="n">
        <v>46240</v>
      </c>
      <c r="B53" s="5"/>
      <c r="C53" s="5"/>
      <c r="D53" s="5"/>
      <c r="E53" s="5"/>
      <c r="F53" s="5"/>
      <c r="G53" s="5"/>
      <c r="H53" s="5"/>
      <c r="I53" s="5"/>
      <c r="J53" s="5"/>
      <c r="K53" s="5"/>
    </row>
    <row r="54" customFormat="false" ht="13.8" hidden="true" customHeight="false" outlineLevel="0" collapsed="false">
      <c r="A54" s="4" t="n">
        <v>46241</v>
      </c>
      <c r="B54" s="5"/>
      <c r="C54" s="5"/>
      <c r="D54" s="5"/>
      <c r="E54" s="5"/>
      <c r="F54" s="5"/>
      <c r="G54" s="5"/>
      <c r="H54" s="5"/>
      <c r="I54" s="5"/>
      <c r="J54" s="5"/>
      <c r="K54" s="5"/>
    </row>
    <row r="55" customFormat="false" ht="13.8" hidden="true" customHeight="false" outlineLevel="0" collapsed="false">
      <c r="A55" s="4" t="n">
        <v>46244</v>
      </c>
      <c r="B55" s="5"/>
      <c r="C55" s="5"/>
      <c r="D55" s="5"/>
      <c r="E55" s="5"/>
      <c r="F55" s="5"/>
      <c r="G55" s="5"/>
      <c r="H55" s="5"/>
      <c r="I55" s="5"/>
      <c r="J55" s="5"/>
      <c r="K55" s="5"/>
    </row>
    <row r="56" customFormat="false" ht="13.8" hidden="true" customHeight="false" outlineLevel="0" collapsed="false">
      <c r="A56" s="4" t="n">
        <v>46245</v>
      </c>
      <c r="B56" s="5"/>
      <c r="C56" s="5"/>
      <c r="D56" s="5"/>
      <c r="E56" s="5"/>
      <c r="F56" s="5"/>
      <c r="G56" s="5"/>
      <c r="H56" s="5"/>
      <c r="I56" s="5"/>
      <c r="J56" s="5"/>
      <c r="K56" s="5"/>
    </row>
    <row r="57" customFormat="false" ht="13.8" hidden="true" customHeight="false" outlineLevel="0" collapsed="false">
      <c r="A57" s="4" t="n">
        <v>46246</v>
      </c>
      <c r="B57" s="5"/>
      <c r="C57" s="5"/>
      <c r="D57" s="5"/>
      <c r="E57" s="5"/>
      <c r="F57" s="5"/>
      <c r="G57" s="5"/>
      <c r="H57" s="5"/>
      <c r="I57" s="5"/>
      <c r="J57" s="5"/>
      <c r="K57" s="5"/>
    </row>
    <row r="58" customFormat="false" ht="13.8" hidden="true" customHeight="false" outlineLevel="0" collapsed="false">
      <c r="A58" s="4" t="n">
        <v>46247</v>
      </c>
      <c r="B58" s="5"/>
      <c r="C58" s="5"/>
      <c r="D58" s="5"/>
      <c r="E58" s="5"/>
      <c r="F58" s="5"/>
      <c r="G58" s="5"/>
      <c r="H58" s="5"/>
      <c r="I58" s="5"/>
      <c r="J58" s="5"/>
      <c r="K58" s="5"/>
    </row>
    <row r="59" customFormat="false" ht="13.8" hidden="true" customHeight="false" outlineLevel="0" collapsed="false">
      <c r="A59" s="4" t="n">
        <v>46248</v>
      </c>
      <c r="B59" s="5"/>
      <c r="C59" s="5"/>
      <c r="D59" s="5"/>
      <c r="E59" s="5"/>
      <c r="F59" s="5"/>
      <c r="G59" s="5"/>
      <c r="H59" s="5"/>
      <c r="I59" s="5"/>
      <c r="J59" s="5"/>
      <c r="K59" s="5"/>
    </row>
    <row r="60" customFormat="false" ht="13.8" hidden="true" customHeight="false" outlineLevel="0" collapsed="false">
      <c r="A60" s="4" t="n">
        <v>46251</v>
      </c>
      <c r="B60" s="5"/>
      <c r="C60" s="5"/>
      <c r="D60" s="5"/>
      <c r="E60" s="5"/>
      <c r="F60" s="5"/>
      <c r="G60" s="5"/>
      <c r="H60" s="5"/>
      <c r="I60" s="5"/>
      <c r="J60" s="5"/>
      <c r="K60" s="5"/>
    </row>
    <row r="61" customFormat="false" ht="13.8" hidden="true" customHeight="false" outlineLevel="0" collapsed="false">
      <c r="A61" s="4" t="n">
        <v>46252</v>
      </c>
      <c r="B61" s="5"/>
      <c r="C61" s="5"/>
      <c r="D61" s="5"/>
      <c r="E61" s="5"/>
      <c r="F61" s="5"/>
      <c r="G61" s="5"/>
      <c r="H61" s="5"/>
      <c r="I61" s="5"/>
      <c r="J61" s="5"/>
      <c r="K61" s="5"/>
    </row>
    <row r="62" customFormat="false" ht="13.8" hidden="true" customHeight="false" outlineLevel="0" collapsed="false">
      <c r="A62" s="4" t="n">
        <v>46253</v>
      </c>
      <c r="B62" s="5"/>
      <c r="C62" s="5"/>
      <c r="D62" s="5"/>
      <c r="E62" s="5"/>
      <c r="F62" s="5"/>
      <c r="G62" s="5"/>
      <c r="H62" s="5"/>
      <c r="I62" s="5"/>
      <c r="J62" s="5"/>
      <c r="K62" s="5"/>
    </row>
    <row r="63" customFormat="false" ht="13.8" hidden="true" customHeight="false" outlineLevel="0" collapsed="false">
      <c r="A63" s="4" t="n">
        <v>46254</v>
      </c>
      <c r="B63" s="5"/>
      <c r="C63" s="5"/>
      <c r="D63" s="5"/>
      <c r="E63" s="5"/>
      <c r="F63" s="5"/>
      <c r="G63" s="5"/>
      <c r="H63" s="5"/>
      <c r="I63" s="5"/>
      <c r="J63" s="5"/>
      <c r="K63" s="5"/>
    </row>
    <row r="64" customFormat="false" ht="13.8" hidden="true" customHeight="false" outlineLevel="0" collapsed="false">
      <c r="A64" s="4" t="n">
        <v>46255</v>
      </c>
      <c r="B64" s="5"/>
      <c r="C64" s="5"/>
      <c r="D64" s="5"/>
      <c r="E64" s="5"/>
      <c r="F64" s="5"/>
      <c r="G64" s="5"/>
      <c r="H64" s="5"/>
      <c r="I64" s="5"/>
      <c r="J64" s="5"/>
      <c r="K64" s="5"/>
    </row>
    <row r="65" customFormat="false" ht="13.8" hidden="true" customHeight="false" outlineLevel="0" collapsed="false">
      <c r="A65" s="4" t="n">
        <v>46258</v>
      </c>
      <c r="B65" s="5"/>
      <c r="C65" s="5"/>
      <c r="D65" s="5"/>
      <c r="E65" s="5"/>
      <c r="F65" s="5"/>
      <c r="G65" s="5"/>
      <c r="H65" s="5"/>
      <c r="I65" s="5"/>
      <c r="J65" s="5"/>
      <c r="K65" s="5"/>
    </row>
    <row r="66" customFormat="false" ht="13.8" hidden="true" customHeight="false" outlineLevel="0" collapsed="false">
      <c r="A66" s="4" t="n">
        <v>46259</v>
      </c>
      <c r="B66" s="5"/>
      <c r="C66" s="5"/>
      <c r="D66" s="5"/>
      <c r="E66" s="5"/>
      <c r="F66" s="5"/>
      <c r="G66" s="5"/>
      <c r="H66" s="5"/>
      <c r="I66" s="5"/>
      <c r="J66" s="5"/>
      <c r="K66" s="5"/>
    </row>
    <row r="67" customFormat="false" ht="13.8" hidden="true" customHeight="false" outlineLevel="0" collapsed="false">
      <c r="A67" s="4" t="n">
        <v>46260</v>
      </c>
      <c r="B67" s="5"/>
      <c r="C67" s="5"/>
      <c r="D67" s="5"/>
      <c r="E67" s="5"/>
      <c r="F67" s="5"/>
      <c r="G67" s="5"/>
      <c r="H67" s="5"/>
      <c r="I67" s="5"/>
      <c r="J67" s="5"/>
      <c r="K67" s="5"/>
    </row>
    <row r="68" customFormat="false" ht="13.8" hidden="true" customHeight="false" outlineLevel="0" collapsed="false">
      <c r="A68" s="4" t="n">
        <v>46261</v>
      </c>
      <c r="B68" s="5"/>
      <c r="C68" s="5"/>
      <c r="D68" s="5"/>
      <c r="E68" s="5"/>
      <c r="F68" s="5"/>
      <c r="G68" s="5"/>
      <c r="H68" s="5"/>
      <c r="I68" s="5"/>
      <c r="J68" s="5"/>
      <c r="K68" s="5"/>
    </row>
    <row r="69" customFormat="false" ht="13.8" hidden="true" customHeight="false" outlineLevel="0" collapsed="false">
      <c r="A69" s="4" t="n">
        <v>46262</v>
      </c>
      <c r="B69" s="5"/>
      <c r="C69" s="5"/>
      <c r="D69" s="5"/>
      <c r="E69" s="5"/>
      <c r="F69" s="5"/>
      <c r="G69" s="5"/>
      <c r="H69" s="5"/>
      <c r="I69" s="5"/>
      <c r="J69" s="5"/>
      <c r="K69" s="5"/>
    </row>
    <row r="70" customFormat="false" ht="13.8" hidden="true" customHeight="false" outlineLevel="0" collapsed="false">
      <c r="A70" s="4" t="n">
        <v>46265</v>
      </c>
      <c r="B70" s="5"/>
      <c r="C70" s="5"/>
      <c r="D70" s="5"/>
      <c r="E70" s="5"/>
      <c r="F70" s="5"/>
      <c r="G70" s="5"/>
      <c r="H70" s="5"/>
      <c r="I70" s="5"/>
      <c r="J70" s="5"/>
      <c r="K70" s="5"/>
    </row>
    <row r="71" customFormat="false" ht="13.8" hidden="true" customHeight="false" outlineLevel="0" collapsed="false">
      <c r="A71" s="6" t="s">
        <v>20</v>
      </c>
      <c r="B71" s="5" t="n">
        <f aca="false">SUM(B50:B70)</f>
        <v>0</v>
      </c>
      <c r="C71" s="5" t="n">
        <f aca="false">SUM(C50:C70)</f>
        <v>0</v>
      </c>
      <c r="D71" s="5" t="n">
        <f aca="false">SUM(D50:D70)</f>
        <v>0</v>
      </c>
      <c r="E71" s="5" t="n">
        <f aca="false">SUM(E50:E70)</f>
        <v>0</v>
      </c>
      <c r="F71" s="5" t="n">
        <f aca="false">SUM(F50:F70)</f>
        <v>0</v>
      </c>
      <c r="G71" s="5" t="n">
        <f aca="false">SUM(G50:G70)</f>
        <v>0</v>
      </c>
      <c r="H71" s="5" t="n">
        <f aca="false">SUM(H50:H70)</f>
        <v>0</v>
      </c>
      <c r="I71" s="5" t="n">
        <f aca="false">SUM(I50:I70)</f>
        <v>0</v>
      </c>
      <c r="J71" s="5" t="n">
        <f aca="false">SUM(J50:J70)</f>
        <v>0</v>
      </c>
      <c r="K71" s="5" t="n">
        <f aca="false">SUM(K50:K70)</f>
        <v>0</v>
      </c>
    </row>
    <row r="72" customFormat="false" ht="13.8" hidden="true" customHeight="false" outlineLevel="0" collapsed="false">
      <c r="A72" s="4" t="n">
        <v>46266</v>
      </c>
      <c r="B72" s="5"/>
      <c r="C72" s="5"/>
      <c r="D72" s="5"/>
      <c r="E72" s="5"/>
      <c r="F72" s="5"/>
      <c r="G72" s="5"/>
      <c r="H72" s="5"/>
      <c r="I72" s="5"/>
      <c r="J72" s="5"/>
      <c r="K72" s="5"/>
    </row>
    <row r="73" customFormat="false" ht="13.8" hidden="true" customHeight="false" outlineLevel="0" collapsed="false">
      <c r="A73" s="4" t="n">
        <v>46267</v>
      </c>
      <c r="B73" s="5"/>
      <c r="C73" s="5"/>
      <c r="D73" s="5"/>
      <c r="E73" s="5"/>
      <c r="F73" s="5"/>
      <c r="G73" s="5"/>
      <c r="H73" s="5"/>
      <c r="I73" s="5"/>
      <c r="J73" s="5"/>
      <c r="K73" s="5"/>
    </row>
    <row r="74" customFormat="false" ht="13.8" hidden="true" customHeight="false" outlineLevel="0" collapsed="false">
      <c r="A74" s="4" t="n">
        <v>46268</v>
      </c>
      <c r="B74" s="5"/>
      <c r="C74" s="5"/>
      <c r="D74" s="5"/>
      <c r="E74" s="5"/>
      <c r="F74" s="5"/>
      <c r="G74" s="5"/>
      <c r="H74" s="5"/>
      <c r="I74" s="5"/>
      <c r="J74" s="5"/>
      <c r="K74" s="5"/>
    </row>
    <row r="75" customFormat="false" ht="13.8" hidden="true" customHeight="false" outlineLevel="0" collapsed="false">
      <c r="A75" s="4" t="n">
        <v>46269</v>
      </c>
      <c r="B75" s="5"/>
      <c r="C75" s="5"/>
      <c r="D75" s="5"/>
      <c r="E75" s="5"/>
      <c r="F75" s="5"/>
      <c r="G75" s="5"/>
      <c r="H75" s="5"/>
      <c r="I75" s="5"/>
      <c r="J75" s="5"/>
      <c r="K75" s="5"/>
    </row>
    <row r="76" customFormat="false" ht="13.8" hidden="true" customHeight="false" outlineLevel="0" collapsed="false">
      <c r="A76" s="4" t="n">
        <v>46272</v>
      </c>
      <c r="B76" s="5"/>
      <c r="C76" s="5"/>
      <c r="D76" s="5"/>
      <c r="E76" s="5"/>
      <c r="F76" s="5"/>
      <c r="G76" s="5"/>
      <c r="H76" s="5"/>
      <c r="I76" s="5"/>
      <c r="J76" s="5"/>
      <c r="K76" s="5"/>
    </row>
    <row r="77" customFormat="false" ht="13.8" hidden="true" customHeight="false" outlineLevel="0" collapsed="false">
      <c r="A77" s="4" t="n">
        <v>46273</v>
      </c>
      <c r="B77" s="5"/>
      <c r="C77" s="5"/>
      <c r="D77" s="5"/>
      <c r="E77" s="5"/>
      <c r="F77" s="5"/>
      <c r="G77" s="5"/>
      <c r="H77" s="5"/>
      <c r="I77" s="5"/>
      <c r="J77" s="5"/>
      <c r="K77" s="5"/>
    </row>
    <row r="78" customFormat="false" ht="13.8" hidden="true" customHeight="false" outlineLevel="0" collapsed="false">
      <c r="A78" s="4" t="n">
        <v>46274</v>
      </c>
      <c r="B78" s="5"/>
      <c r="C78" s="5"/>
      <c r="D78" s="5"/>
      <c r="E78" s="5"/>
      <c r="F78" s="5"/>
      <c r="G78" s="5"/>
      <c r="H78" s="5"/>
      <c r="I78" s="5"/>
      <c r="J78" s="5"/>
      <c r="K78" s="5"/>
    </row>
    <row r="79" customFormat="false" ht="13.8" hidden="true" customHeight="false" outlineLevel="0" collapsed="false">
      <c r="A79" s="4" t="n">
        <v>46275</v>
      </c>
      <c r="B79" s="5"/>
      <c r="C79" s="5"/>
      <c r="D79" s="5"/>
      <c r="E79" s="5"/>
      <c r="F79" s="5"/>
      <c r="G79" s="5"/>
      <c r="H79" s="5"/>
      <c r="I79" s="5"/>
      <c r="J79" s="5"/>
      <c r="K79" s="5"/>
    </row>
    <row r="80" customFormat="false" ht="13.8" hidden="true" customHeight="false" outlineLevel="0" collapsed="false">
      <c r="A80" s="4" t="n">
        <v>46276</v>
      </c>
      <c r="B80" s="5"/>
      <c r="C80" s="5"/>
      <c r="D80" s="5"/>
      <c r="E80" s="5"/>
      <c r="F80" s="5"/>
      <c r="G80" s="5"/>
      <c r="H80" s="5"/>
      <c r="I80" s="5"/>
      <c r="J80" s="5"/>
      <c r="K80" s="5"/>
    </row>
    <row r="81" customFormat="false" ht="13.8" hidden="true" customHeight="false" outlineLevel="0" collapsed="false">
      <c r="A81" s="4" t="n">
        <v>46279</v>
      </c>
      <c r="B81" s="5"/>
      <c r="C81" s="5"/>
      <c r="D81" s="5"/>
      <c r="E81" s="5"/>
      <c r="F81" s="5"/>
      <c r="G81" s="5"/>
      <c r="H81" s="5"/>
      <c r="I81" s="5"/>
      <c r="J81" s="5"/>
      <c r="K81" s="5"/>
    </row>
    <row r="82" customFormat="false" ht="13.8" hidden="true" customHeight="false" outlineLevel="0" collapsed="false">
      <c r="A82" s="4" t="n">
        <v>46280</v>
      </c>
      <c r="B82" s="5"/>
      <c r="C82" s="5"/>
      <c r="D82" s="5"/>
      <c r="E82" s="5"/>
      <c r="F82" s="5"/>
      <c r="G82" s="5"/>
      <c r="H82" s="5"/>
      <c r="I82" s="5"/>
      <c r="J82" s="5"/>
      <c r="K82" s="5"/>
    </row>
    <row r="83" customFormat="false" ht="13.8" hidden="true" customHeight="false" outlineLevel="0" collapsed="false">
      <c r="A83" s="4" t="n">
        <v>46281</v>
      </c>
      <c r="B83" s="5"/>
      <c r="C83" s="5"/>
      <c r="D83" s="5"/>
      <c r="E83" s="5"/>
      <c r="F83" s="5"/>
      <c r="G83" s="5"/>
      <c r="H83" s="5"/>
      <c r="I83" s="5"/>
      <c r="J83" s="5"/>
      <c r="K83" s="5"/>
    </row>
    <row r="84" customFormat="false" ht="13.8" hidden="true" customHeight="false" outlineLevel="0" collapsed="false">
      <c r="A84" s="4" t="n">
        <v>46282</v>
      </c>
      <c r="B84" s="5"/>
      <c r="C84" s="5"/>
      <c r="D84" s="5"/>
      <c r="E84" s="5"/>
      <c r="F84" s="5"/>
      <c r="G84" s="5"/>
      <c r="H84" s="5"/>
      <c r="I84" s="5"/>
      <c r="J84" s="5"/>
      <c r="K84" s="5"/>
    </row>
    <row r="85" customFormat="false" ht="13.8" hidden="true" customHeight="false" outlineLevel="0" collapsed="false">
      <c r="A85" s="4" t="n">
        <v>46283</v>
      </c>
      <c r="B85" s="5"/>
      <c r="C85" s="5"/>
      <c r="D85" s="5"/>
      <c r="E85" s="5"/>
      <c r="F85" s="5"/>
      <c r="G85" s="5"/>
      <c r="H85" s="5"/>
      <c r="I85" s="5"/>
      <c r="J85" s="5"/>
      <c r="K85" s="5"/>
    </row>
    <row r="86" customFormat="false" ht="13.8" hidden="true" customHeight="false" outlineLevel="0" collapsed="false">
      <c r="A86" s="4" t="n">
        <v>46286</v>
      </c>
      <c r="B86" s="5"/>
      <c r="C86" s="5"/>
      <c r="D86" s="5"/>
      <c r="E86" s="5"/>
      <c r="F86" s="5"/>
      <c r="G86" s="5"/>
      <c r="H86" s="5"/>
      <c r="I86" s="5"/>
      <c r="J86" s="5"/>
      <c r="K86" s="5"/>
    </row>
    <row r="87" customFormat="false" ht="13.8" hidden="true" customHeight="false" outlineLevel="0" collapsed="false">
      <c r="A87" s="4" t="n">
        <v>46287</v>
      </c>
      <c r="B87" s="5"/>
      <c r="C87" s="5"/>
      <c r="D87" s="5"/>
      <c r="E87" s="5"/>
      <c r="F87" s="5"/>
      <c r="G87" s="5"/>
      <c r="H87" s="5"/>
      <c r="I87" s="5"/>
      <c r="J87" s="5"/>
      <c r="K87" s="5"/>
    </row>
    <row r="88" customFormat="false" ht="13.8" hidden="true" customHeight="false" outlineLevel="0" collapsed="false">
      <c r="A88" s="4" t="n">
        <v>46288</v>
      </c>
      <c r="B88" s="5"/>
      <c r="C88" s="5"/>
      <c r="D88" s="5"/>
      <c r="E88" s="5"/>
      <c r="F88" s="5"/>
      <c r="G88" s="5"/>
      <c r="H88" s="5"/>
      <c r="I88" s="5"/>
      <c r="J88" s="5"/>
      <c r="K88" s="5"/>
    </row>
    <row r="89" customFormat="false" ht="13.8" hidden="true" customHeight="false" outlineLevel="0" collapsed="false">
      <c r="A89" s="4" t="n">
        <v>46289</v>
      </c>
      <c r="B89" s="5"/>
      <c r="C89" s="5"/>
      <c r="D89" s="5"/>
      <c r="E89" s="5"/>
      <c r="F89" s="5"/>
      <c r="G89" s="5"/>
      <c r="H89" s="5"/>
      <c r="I89" s="5"/>
      <c r="J89" s="5"/>
      <c r="K89" s="5"/>
    </row>
    <row r="90" customFormat="false" ht="13.8" hidden="true" customHeight="false" outlineLevel="0" collapsed="false">
      <c r="A90" s="4" t="n">
        <v>46290</v>
      </c>
      <c r="B90" s="5"/>
      <c r="C90" s="5"/>
      <c r="D90" s="5"/>
      <c r="E90" s="5"/>
      <c r="F90" s="5"/>
      <c r="G90" s="5"/>
      <c r="H90" s="5"/>
      <c r="I90" s="5"/>
      <c r="J90" s="5"/>
      <c r="K90" s="5"/>
    </row>
    <row r="91" customFormat="false" ht="13.8" hidden="true" customHeight="false" outlineLevel="0" collapsed="false">
      <c r="A91" s="4" t="n">
        <v>46293</v>
      </c>
      <c r="B91" s="5"/>
      <c r="C91" s="5"/>
      <c r="D91" s="5"/>
      <c r="E91" s="5"/>
      <c r="F91" s="5"/>
      <c r="G91" s="5"/>
      <c r="H91" s="5"/>
      <c r="I91" s="5"/>
      <c r="J91" s="5"/>
      <c r="K91" s="5"/>
    </row>
    <row r="92" customFormat="false" ht="13.8" hidden="true" customHeight="false" outlineLevel="0" collapsed="false">
      <c r="A92" s="4" t="n">
        <v>46294</v>
      </c>
      <c r="B92" s="5"/>
      <c r="C92" s="5"/>
      <c r="D92" s="5"/>
      <c r="E92" s="5"/>
      <c r="F92" s="5"/>
      <c r="G92" s="5"/>
      <c r="H92" s="5"/>
      <c r="I92" s="5"/>
      <c r="J92" s="5"/>
      <c r="K92" s="5"/>
    </row>
    <row r="93" customFormat="false" ht="13.8" hidden="true" customHeight="false" outlineLevel="0" collapsed="false">
      <c r="A93" s="4" t="n">
        <v>46295</v>
      </c>
      <c r="B93" s="5"/>
      <c r="C93" s="5"/>
      <c r="D93" s="5"/>
      <c r="E93" s="5"/>
      <c r="F93" s="5"/>
      <c r="G93" s="5"/>
      <c r="H93" s="5"/>
      <c r="I93" s="5"/>
      <c r="J93" s="5"/>
      <c r="K93" s="5"/>
    </row>
    <row r="94" customFormat="false" ht="13.8" hidden="true" customHeight="false" outlineLevel="0" collapsed="false">
      <c r="A94" s="6" t="s">
        <v>21</v>
      </c>
      <c r="B94" s="5" t="n">
        <f aca="false">SUM(B72:B93)</f>
        <v>0</v>
      </c>
      <c r="C94" s="5" t="n">
        <f aca="false">SUM(C72:C93)</f>
        <v>0</v>
      </c>
      <c r="D94" s="5" t="n">
        <f aca="false">SUM(D72:D93)</f>
        <v>0</v>
      </c>
      <c r="E94" s="5" t="n">
        <f aca="false">SUM(E72:E93)</f>
        <v>0</v>
      </c>
      <c r="F94" s="5" t="n">
        <f aca="false">SUM(F72:F93)</f>
        <v>0</v>
      </c>
      <c r="G94" s="5" t="n">
        <f aca="false">SUM(G72:G93)</f>
        <v>0</v>
      </c>
      <c r="H94" s="5" t="n">
        <f aca="false">SUM(H72:H93)</f>
        <v>0</v>
      </c>
      <c r="I94" s="5" t="n">
        <f aca="false">SUM(I72:I93)</f>
        <v>0</v>
      </c>
      <c r="J94" s="5" t="n">
        <f aca="false">SUM(J72:J93)</f>
        <v>0</v>
      </c>
      <c r="K94" s="5" t="n">
        <f aca="false">SUM(K72:K93)</f>
        <v>0</v>
      </c>
    </row>
    <row r="95" customFormat="false" ht="13.8" hidden="true" customHeight="false" outlineLevel="0" collapsed="false">
      <c r="A95" s="4" t="n">
        <v>46296</v>
      </c>
      <c r="B95" s="5"/>
      <c r="C95" s="5"/>
      <c r="D95" s="5"/>
      <c r="E95" s="5"/>
      <c r="F95" s="5"/>
      <c r="G95" s="5"/>
      <c r="H95" s="5"/>
      <c r="I95" s="5"/>
      <c r="J95" s="5"/>
      <c r="K95" s="5"/>
    </row>
    <row r="96" customFormat="false" ht="13.8" hidden="true" customHeight="false" outlineLevel="0" collapsed="false">
      <c r="A96" s="4" t="n">
        <v>46297</v>
      </c>
      <c r="B96" s="5"/>
      <c r="C96" s="5"/>
      <c r="D96" s="5"/>
      <c r="E96" s="5"/>
      <c r="F96" s="5"/>
      <c r="G96" s="5"/>
      <c r="H96" s="5"/>
      <c r="I96" s="5"/>
      <c r="J96" s="5"/>
      <c r="K96" s="5"/>
    </row>
    <row r="97" customFormat="false" ht="13.8" hidden="true" customHeight="false" outlineLevel="0" collapsed="false">
      <c r="A97" s="4" t="n">
        <v>46300</v>
      </c>
      <c r="B97" s="5"/>
      <c r="C97" s="5"/>
      <c r="D97" s="5"/>
      <c r="E97" s="5"/>
      <c r="F97" s="5"/>
      <c r="G97" s="5"/>
      <c r="H97" s="5"/>
      <c r="I97" s="5"/>
      <c r="J97" s="5"/>
      <c r="K97" s="5"/>
    </row>
    <row r="98" customFormat="false" ht="13.8" hidden="true" customHeight="false" outlineLevel="0" collapsed="false">
      <c r="A98" s="4" t="n">
        <v>46301</v>
      </c>
      <c r="B98" s="5"/>
      <c r="C98" s="5"/>
      <c r="D98" s="5"/>
      <c r="E98" s="5"/>
      <c r="F98" s="5"/>
      <c r="G98" s="5"/>
      <c r="H98" s="5"/>
      <c r="I98" s="5"/>
      <c r="J98" s="5"/>
      <c r="K98" s="5"/>
    </row>
    <row r="99" customFormat="false" ht="13.8" hidden="true" customHeight="false" outlineLevel="0" collapsed="false">
      <c r="A99" s="4" t="n">
        <v>46302</v>
      </c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customFormat="false" ht="13.8" hidden="true" customHeight="false" outlineLevel="0" collapsed="false">
      <c r="A100" s="4" t="n">
        <v>46303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customFormat="false" ht="13.8" hidden="true" customHeight="false" outlineLevel="0" collapsed="false">
      <c r="A101" s="4" t="n">
        <v>46304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customFormat="false" ht="13.8" hidden="true" customHeight="false" outlineLevel="0" collapsed="false">
      <c r="A102" s="4" t="n">
        <v>46307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customFormat="false" ht="13.8" hidden="true" customHeight="false" outlineLevel="0" collapsed="false">
      <c r="A103" s="4" t="n">
        <v>46308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customFormat="false" ht="13.8" hidden="true" customHeight="false" outlineLevel="0" collapsed="false">
      <c r="A104" s="4" t="n">
        <v>46309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customFormat="false" ht="13.8" hidden="true" customHeight="false" outlineLevel="0" collapsed="false">
      <c r="A105" s="4" t="n">
        <v>46310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customFormat="false" ht="13.8" hidden="true" customHeight="false" outlineLevel="0" collapsed="false">
      <c r="A106" s="4" t="n">
        <v>46311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customFormat="false" ht="13.8" hidden="true" customHeight="false" outlineLevel="0" collapsed="false">
      <c r="A107" s="4" t="n">
        <v>46314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customFormat="false" ht="13.8" hidden="true" customHeight="false" outlineLevel="0" collapsed="false">
      <c r="A108" s="4" t="n">
        <v>46315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customFormat="false" ht="13.8" hidden="true" customHeight="false" outlineLevel="0" collapsed="false">
      <c r="A109" s="4" t="n">
        <v>46316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customFormat="false" ht="13.8" hidden="true" customHeight="false" outlineLevel="0" collapsed="false">
      <c r="A110" s="4" t="n">
        <v>46317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customFormat="false" ht="13.8" hidden="true" customHeight="false" outlineLevel="0" collapsed="false">
      <c r="A111" s="4" t="n">
        <v>46318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customFormat="false" ht="13.8" hidden="true" customHeight="false" outlineLevel="0" collapsed="false">
      <c r="A112" s="4" t="n">
        <v>46321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customFormat="false" ht="13.8" hidden="true" customHeight="false" outlineLevel="0" collapsed="false">
      <c r="A113" s="4" t="n">
        <v>46322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customFormat="false" ht="13.8" hidden="true" customHeight="false" outlineLevel="0" collapsed="false">
      <c r="A114" s="4" t="n">
        <v>46323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customFormat="false" ht="13.8" hidden="true" customHeight="false" outlineLevel="0" collapsed="false">
      <c r="A115" s="4" t="n">
        <v>46324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customFormat="false" ht="13.8" hidden="true" customHeight="false" outlineLevel="0" collapsed="false">
      <c r="A116" s="4" t="n">
        <v>46325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customFormat="false" ht="13.8" hidden="true" customHeight="false" outlineLevel="0" collapsed="false">
      <c r="A117" s="6" t="s">
        <v>22</v>
      </c>
      <c r="B117" s="5" t="n">
        <f aca="false">SUM(B95:B116)</f>
        <v>0</v>
      </c>
      <c r="C117" s="5" t="n">
        <f aca="false">SUM(C95:C116)</f>
        <v>0</v>
      </c>
      <c r="D117" s="5" t="n">
        <f aca="false">SUM(D95:D116)</f>
        <v>0</v>
      </c>
      <c r="E117" s="5" t="n">
        <f aca="false">SUM(E95:E116)</f>
        <v>0</v>
      </c>
      <c r="F117" s="5" t="n">
        <f aca="false">SUM(F95:F116)</f>
        <v>0</v>
      </c>
      <c r="G117" s="5" t="n">
        <f aca="false">SUM(G95:G116)</f>
        <v>0</v>
      </c>
      <c r="H117" s="5" t="n">
        <f aca="false">SUM(H95:H116)</f>
        <v>0</v>
      </c>
      <c r="I117" s="5" t="n">
        <f aca="false">SUM(I95:I116)</f>
        <v>0</v>
      </c>
      <c r="J117" s="5" t="n">
        <f aca="false">SUM(J95:J116)</f>
        <v>0</v>
      </c>
      <c r="K117" s="5" t="n">
        <f aca="false">SUM(K95:K116)</f>
        <v>0</v>
      </c>
    </row>
    <row r="118" customFormat="false" ht="13.8" hidden="true" customHeight="false" outlineLevel="0" collapsed="false">
      <c r="A118" s="4" t="n">
        <v>46328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customFormat="false" ht="13.8" hidden="true" customHeight="false" outlineLevel="0" collapsed="false">
      <c r="A119" s="4" t="n">
        <v>46329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customFormat="false" ht="13.8" hidden="true" customHeight="false" outlineLevel="0" collapsed="false">
      <c r="A120" s="4" t="n">
        <v>46330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customFormat="false" ht="13.8" hidden="true" customHeight="false" outlineLevel="0" collapsed="false">
      <c r="A121" s="4" t="n">
        <v>46331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customFormat="false" ht="13.8" hidden="true" customHeight="false" outlineLevel="0" collapsed="false">
      <c r="A122" s="4" t="n">
        <v>46332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customFormat="false" ht="13.8" hidden="true" customHeight="false" outlineLevel="0" collapsed="false">
      <c r="A123" s="4" t="n">
        <v>46335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customFormat="false" ht="13.8" hidden="true" customHeight="false" outlineLevel="0" collapsed="false">
      <c r="A124" s="4" t="n">
        <v>46336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customFormat="false" ht="13.8" hidden="true" customHeight="false" outlineLevel="0" collapsed="false">
      <c r="A125" s="4" t="n">
        <v>46337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customFormat="false" ht="13.8" hidden="true" customHeight="false" outlineLevel="0" collapsed="false">
      <c r="A126" s="4" t="n">
        <v>46338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customFormat="false" ht="13.8" hidden="true" customHeight="false" outlineLevel="0" collapsed="false">
      <c r="A127" s="4" t="n">
        <v>46339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customFormat="false" ht="13.8" hidden="true" customHeight="false" outlineLevel="0" collapsed="false">
      <c r="A128" s="4" t="n">
        <v>46342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customFormat="false" ht="13.8" hidden="true" customHeight="false" outlineLevel="0" collapsed="false">
      <c r="A129" s="4" t="n">
        <v>46343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customFormat="false" ht="13.8" hidden="true" customHeight="false" outlineLevel="0" collapsed="false">
      <c r="A130" s="4" t="n">
        <v>46344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customFormat="false" ht="13.8" hidden="true" customHeight="false" outlineLevel="0" collapsed="false">
      <c r="A131" s="4" t="n">
        <v>46345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customFormat="false" ht="13.8" hidden="true" customHeight="false" outlineLevel="0" collapsed="false">
      <c r="A132" s="4" t="n">
        <v>46346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customFormat="false" ht="13.8" hidden="true" customHeight="false" outlineLevel="0" collapsed="false">
      <c r="A133" s="4" t="n">
        <v>46349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customFormat="false" ht="13.8" hidden="true" customHeight="false" outlineLevel="0" collapsed="false">
      <c r="A134" s="4" t="n">
        <v>46350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customFormat="false" ht="13.8" hidden="true" customHeight="false" outlineLevel="0" collapsed="false">
      <c r="A135" s="4" t="n">
        <v>46351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customFormat="false" ht="13.8" hidden="true" customHeight="false" outlineLevel="0" collapsed="false">
      <c r="A136" s="4" t="n">
        <v>46352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customFormat="false" ht="13.8" hidden="true" customHeight="false" outlineLevel="0" collapsed="false">
      <c r="A137" s="4" t="n">
        <v>46353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customFormat="false" ht="13.8" hidden="true" customHeight="false" outlineLevel="0" collapsed="false">
      <c r="A138" s="4" t="n">
        <v>46356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customFormat="false" ht="13.8" hidden="true" customHeight="false" outlineLevel="0" collapsed="false">
      <c r="A139" s="6" t="s">
        <v>23</v>
      </c>
      <c r="B139" s="5" t="n">
        <f aca="false">SUM(B118:B138)</f>
        <v>0</v>
      </c>
      <c r="C139" s="5" t="n">
        <f aca="false">SUM(C118:C138)</f>
        <v>0</v>
      </c>
      <c r="D139" s="5" t="n">
        <f aca="false">SUM(D118:D138)</f>
        <v>0</v>
      </c>
      <c r="E139" s="5" t="n">
        <f aca="false">SUM(E118:E138)</f>
        <v>0</v>
      </c>
      <c r="F139" s="5" t="n">
        <f aca="false">SUM(F118:F138)</f>
        <v>0</v>
      </c>
      <c r="G139" s="5" t="n">
        <f aca="false">SUM(G118:G138)</f>
        <v>0</v>
      </c>
      <c r="H139" s="5" t="n">
        <f aca="false">SUM(H118:H138)</f>
        <v>0</v>
      </c>
      <c r="I139" s="5" t="n">
        <f aca="false">SUM(I118:I138)</f>
        <v>0</v>
      </c>
      <c r="J139" s="5" t="n">
        <f aca="false">SUM(J118:J138)</f>
        <v>0</v>
      </c>
      <c r="K139" s="5" t="n">
        <f aca="false">SUM(K118:K138)</f>
        <v>0</v>
      </c>
    </row>
    <row r="140" customFormat="false" ht="13.8" hidden="true" customHeight="false" outlineLevel="0" collapsed="false">
      <c r="A140" s="4" t="n">
        <v>46357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customFormat="false" ht="13.8" hidden="true" customHeight="false" outlineLevel="0" collapsed="false">
      <c r="A141" s="4" t="n">
        <v>46358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customFormat="false" ht="13.8" hidden="true" customHeight="false" outlineLevel="0" collapsed="false">
      <c r="A142" s="4" t="n">
        <v>46359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customFormat="false" ht="13.8" hidden="true" customHeight="false" outlineLevel="0" collapsed="false">
      <c r="A143" s="4" t="n">
        <v>46360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customFormat="false" ht="13.8" hidden="true" customHeight="false" outlineLevel="0" collapsed="false">
      <c r="A144" s="4" t="n">
        <v>46363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customFormat="false" ht="13.8" hidden="true" customHeight="false" outlineLevel="0" collapsed="false">
      <c r="A145" s="4" t="n">
        <v>46364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customFormat="false" ht="13.8" hidden="true" customHeight="false" outlineLevel="0" collapsed="false">
      <c r="A146" s="4" t="n">
        <v>46365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customFormat="false" ht="13.8" hidden="true" customHeight="false" outlineLevel="0" collapsed="false">
      <c r="A147" s="4" t="n">
        <v>46366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customFormat="false" ht="13.8" hidden="true" customHeight="false" outlineLevel="0" collapsed="false">
      <c r="A148" s="4" t="n">
        <v>46367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customFormat="false" ht="13.8" hidden="true" customHeight="false" outlineLevel="0" collapsed="false">
      <c r="A149" s="4" t="n">
        <v>46370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customFormat="false" ht="13.8" hidden="true" customHeight="false" outlineLevel="0" collapsed="false">
      <c r="A150" s="4" t="n">
        <v>46371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customFormat="false" ht="13.8" hidden="true" customHeight="false" outlineLevel="0" collapsed="false">
      <c r="A151" s="4" t="n">
        <v>46372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customFormat="false" ht="13.8" hidden="true" customHeight="false" outlineLevel="0" collapsed="false">
      <c r="A152" s="4" t="n">
        <v>46373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customFormat="false" ht="13.8" hidden="true" customHeight="false" outlineLevel="0" collapsed="false">
      <c r="A153" s="4" t="n">
        <v>46374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customFormat="false" ht="13.8" hidden="true" customHeight="false" outlineLevel="0" collapsed="false">
      <c r="A154" s="4" t="n">
        <v>46377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customFormat="false" ht="13.8" hidden="true" customHeight="false" outlineLevel="0" collapsed="false">
      <c r="A155" s="4" t="n">
        <v>46378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customFormat="false" ht="13.8" hidden="true" customHeight="false" outlineLevel="0" collapsed="false">
      <c r="A156" s="4" t="n">
        <v>46379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customFormat="false" ht="13.8" hidden="true" customHeight="false" outlineLevel="0" collapsed="false">
      <c r="A157" s="4" t="n">
        <v>46380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customFormat="false" ht="13.8" hidden="true" customHeight="false" outlineLevel="0" collapsed="false">
      <c r="A158" s="4" t="n">
        <v>46381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customFormat="false" ht="13.8" hidden="true" customHeight="false" outlineLevel="0" collapsed="false">
      <c r="A159" s="4" t="n">
        <v>46384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customFormat="false" ht="13.8" hidden="true" customHeight="false" outlineLevel="0" collapsed="false">
      <c r="A160" s="4" t="n">
        <v>46385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customFormat="false" ht="13.8" hidden="true" customHeight="false" outlineLevel="0" collapsed="false">
      <c r="A161" s="4" t="n">
        <v>46386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customFormat="false" ht="13.8" hidden="true" customHeight="false" outlineLevel="0" collapsed="false">
      <c r="A162" s="4" t="n">
        <v>46387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customFormat="false" ht="13.8" hidden="true" customHeight="false" outlineLevel="0" collapsed="false">
      <c r="A163" s="6" t="s">
        <v>24</v>
      </c>
      <c r="B163" s="5" t="n">
        <f aca="false">SUM(B140:B162)</f>
        <v>0</v>
      </c>
      <c r="C163" s="5" t="n">
        <f aca="false">SUM(C140:C162)</f>
        <v>0</v>
      </c>
      <c r="D163" s="5" t="n">
        <f aca="false">SUM(D140:D162)</f>
        <v>0</v>
      </c>
      <c r="E163" s="5" t="n">
        <f aca="false">SUM(E140:E162)</f>
        <v>0</v>
      </c>
      <c r="F163" s="5" t="n">
        <f aca="false">SUM(F140:F162)</f>
        <v>0</v>
      </c>
      <c r="G163" s="5" t="n">
        <f aca="false">SUM(G140:G162)</f>
        <v>0</v>
      </c>
      <c r="H163" s="5" t="n">
        <f aca="false">SUM(H140:H162)</f>
        <v>0</v>
      </c>
      <c r="I163" s="5" t="n">
        <f aca="false">SUM(I140:I162)</f>
        <v>0</v>
      </c>
      <c r="J163" s="5" t="n">
        <f aca="false">SUM(J140:J162)</f>
        <v>0</v>
      </c>
      <c r="K163" s="5" t="n">
        <f aca="false">SUM(K140:K162)</f>
        <v>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2" r:id="rId1" display="avalenciap@unsa.edu.pe"/>
    <hyperlink ref="C2" r:id="rId2" display="allerenav@unsa.edu.pe"/>
    <hyperlink ref="D2" r:id="rId3" display="avargaslop@unsa.edu.pe"/>
    <hyperlink ref="E2" r:id="rId4" display="ecalcinap@unsa.edu.pe"/>
    <hyperlink ref="F2" r:id="rId5" display="jpezo@unsa.edu.pe"/>
    <hyperlink ref="G2" r:id="rId6" display="joquispequi@unsa.edu.pe"/>
    <hyperlink ref="H2" r:id="rId7" display="lvasquezmu@unsa.edu.pe"/>
    <hyperlink ref="J2" r:id="rId8" display="mchambipe@unsa.edu.pe"/>
    <hyperlink ref="K2" r:id="rId9" display="sgodoyp@unsa.edu.pe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K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10.5390625" defaultRowHeight="15" zeroHeight="false" outlineLevelRow="0" outlineLevelCol="0"/>
  <cols>
    <col collapsed="false" customWidth="true" hidden="false" outlineLevel="0" max="2" min="2" style="0" width="8.57"/>
    <col collapsed="false" customWidth="true" hidden="false" outlineLevel="0" max="3" min="3" style="0" width="42.85"/>
    <col collapsed="false" customWidth="true" hidden="false" outlineLevel="0" max="6" min="4" style="0" width="14.28"/>
    <col collapsed="false" customWidth="true" hidden="false" outlineLevel="0" max="7" min="7" style="0" width="3.57"/>
  </cols>
  <sheetData>
    <row r="2" customFormat="false" ht="15" hidden="false" customHeight="false" outlineLevel="0" collapsed="false"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K2" s="5" t="s">
        <v>29</v>
      </c>
    </row>
    <row r="3" customFormat="false" ht="15" hidden="false" customHeight="false" outlineLevel="0" collapsed="false">
      <c r="B3" s="7" t="n">
        <v>1997</v>
      </c>
      <c r="C3" s="8" t="s">
        <v>31</v>
      </c>
      <c r="D3" s="8" t="s">
        <v>4</v>
      </c>
      <c r="E3" s="3" t="n">
        <f aca="false">452+239+162+58+8</f>
        <v>919</v>
      </c>
      <c r="F3" s="9" t="s">
        <v>32</v>
      </c>
      <c r="G3" s="10" t="s">
        <v>33</v>
      </c>
      <c r="K3" s="9" t="s">
        <v>32</v>
      </c>
    </row>
    <row r="4" customFormat="false" ht="15" hidden="false" customHeight="false" outlineLevel="0" collapsed="false">
      <c r="B4" s="7"/>
      <c r="C4" s="8" t="s">
        <v>34</v>
      </c>
      <c r="D4" s="8" t="s">
        <v>1</v>
      </c>
      <c r="E4" s="3" t="n">
        <f aca="false">454+240+163+58+8</f>
        <v>923</v>
      </c>
      <c r="F4" s="9" t="s">
        <v>32</v>
      </c>
      <c r="G4" s="10" t="s">
        <v>33</v>
      </c>
      <c r="K4" s="11" t="s">
        <v>35</v>
      </c>
    </row>
    <row r="5" customFormat="false" ht="15" hidden="false" customHeight="false" outlineLevel="0" collapsed="false">
      <c r="B5" s="7"/>
      <c r="C5" s="8" t="s">
        <v>36</v>
      </c>
      <c r="D5" s="8" t="s">
        <v>6</v>
      </c>
      <c r="E5" s="3" t="n">
        <f aca="false">455+236+171+58+8</f>
        <v>928</v>
      </c>
      <c r="F5" s="9" t="s">
        <v>32</v>
      </c>
      <c r="G5" s="10" t="s">
        <v>33</v>
      </c>
      <c r="K5" s="12" t="s">
        <v>37</v>
      </c>
    </row>
    <row r="6" customFormat="false" ht="15" hidden="false" customHeight="false" outlineLevel="0" collapsed="false">
      <c r="B6" s="7"/>
      <c r="C6" s="8" t="s">
        <v>38</v>
      </c>
      <c r="D6" s="8" t="s">
        <v>9</v>
      </c>
      <c r="E6" s="3" t="n">
        <f aca="false">451+467+45</f>
        <v>963</v>
      </c>
      <c r="F6" s="9" t="s">
        <v>32</v>
      </c>
      <c r="G6" s="10" t="s">
        <v>33</v>
      </c>
      <c r="K6" s="13" t="s">
        <v>39</v>
      </c>
    </row>
    <row r="7" customFormat="false" ht="15" hidden="false" customHeight="false" outlineLevel="0" collapsed="false">
      <c r="B7" s="7"/>
      <c r="C7" s="8" t="s">
        <v>40</v>
      </c>
      <c r="D7" s="8" t="s">
        <v>8</v>
      </c>
      <c r="E7" s="3" t="n">
        <f aca="false">449+462+47</f>
        <v>958</v>
      </c>
      <c r="F7" s="9" t="s">
        <v>32</v>
      </c>
      <c r="G7" s="10" t="s">
        <v>33</v>
      </c>
    </row>
    <row r="8" customFormat="false" ht="15" hidden="false" customHeight="false" outlineLevel="0" collapsed="false">
      <c r="B8" s="7"/>
      <c r="C8" s="8" t="s">
        <v>41</v>
      </c>
      <c r="D8" s="8" t="s">
        <v>5</v>
      </c>
      <c r="E8" s="3" t="n">
        <f aca="false">450+466+44</f>
        <v>960</v>
      </c>
      <c r="F8" s="9" t="s">
        <v>32</v>
      </c>
      <c r="G8" s="10" t="s">
        <v>33</v>
      </c>
    </row>
    <row r="9" customFormat="false" ht="15" hidden="false" customHeight="false" outlineLevel="0" collapsed="false">
      <c r="B9" s="7"/>
      <c r="C9" s="8" t="s">
        <v>42</v>
      </c>
      <c r="D9" s="8" t="s">
        <v>7</v>
      </c>
      <c r="E9" s="3" t="n">
        <f aca="false">449+470+42</f>
        <v>961</v>
      </c>
      <c r="F9" s="9" t="s">
        <v>32</v>
      </c>
      <c r="G9" s="10" t="s">
        <v>33</v>
      </c>
    </row>
    <row r="10" customFormat="false" ht="15" hidden="false" customHeight="false" outlineLevel="0" collapsed="false">
      <c r="B10" s="7"/>
      <c r="C10" s="8" t="s">
        <v>43</v>
      </c>
      <c r="D10" s="8" t="s">
        <v>10</v>
      </c>
      <c r="E10" s="3" t="n">
        <f aca="false">449+470+43</f>
        <v>962</v>
      </c>
      <c r="F10" s="9" t="s">
        <v>32</v>
      </c>
      <c r="G10" s="10" t="s">
        <v>33</v>
      </c>
    </row>
    <row r="11" customFormat="false" ht="15" hidden="false" customHeight="false" outlineLevel="0" collapsed="false">
      <c r="B11" s="7"/>
      <c r="C11" s="8" t="s">
        <v>44</v>
      </c>
      <c r="D11" s="8" t="s">
        <v>3</v>
      </c>
      <c r="E11" s="3" t="n">
        <f aca="false">449+468+44</f>
        <v>961</v>
      </c>
      <c r="F11" s="9" t="s">
        <v>32</v>
      </c>
      <c r="G11" s="10" t="s">
        <v>33</v>
      </c>
    </row>
    <row r="12" customFormat="false" ht="15" hidden="false" customHeight="false" outlineLevel="0" collapsed="false">
      <c r="B12" s="7"/>
      <c r="C12" s="8" t="s">
        <v>45</v>
      </c>
      <c r="D12" s="8" t="s">
        <v>1</v>
      </c>
      <c r="E12" s="3" t="n">
        <f aca="false">447+468+45+31</f>
        <v>991</v>
      </c>
      <c r="F12" s="9" t="s">
        <v>32</v>
      </c>
      <c r="G12" s="10" t="s">
        <v>33</v>
      </c>
    </row>
    <row r="13" customFormat="false" ht="15" hidden="false" customHeight="false" outlineLevel="0" collapsed="false">
      <c r="B13" s="7"/>
      <c r="C13" s="8" t="s">
        <v>46</v>
      </c>
      <c r="D13" s="8" t="s">
        <v>2</v>
      </c>
      <c r="E13" s="3" t="n">
        <f aca="false">449+468+44+33</f>
        <v>994</v>
      </c>
      <c r="F13" s="9" t="s">
        <v>32</v>
      </c>
      <c r="G13" s="10" t="s">
        <v>33</v>
      </c>
    </row>
    <row r="14" customFormat="false" ht="15" hidden="false" customHeight="false" outlineLevel="0" collapsed="false">
      <c r="B14" s="7"/>
      <c r="C14" s="8" t="s">
        <v>47</v>
      </c>
      <c r="D14" s="8" t="s">
        <v>4</v>
      </c>
      <c r="E14" s="3" t="n">
        <f aca="false">447+468+45+95</f>
        <v>1055</v>
      </c>
      <c r="F14" s="9" t="s">
        <v>32</v>
      </c>
      <c r="G14" s="10" t="s">
        <v>33</v>
      </c>
    </row>
    <row r="15" customFormat="false" ht="15" hidden="false" customHeight="false" outlineLevel="0" collapsed="false">
      <c r="E15" s="14" t="n">
        <f aca="false">SUM(E3:E14)</f>
        <v>11575</v>
      </c>
    </row>
    <row r="17" customFormat="false" ht="15" hidden="false" customHeight="false" outlineLevel="0" collapsed="false">
      <c r="B17" s="5" t="s">
        <v>25</v>
      </c>
      <c r="C17" s="5" t="s">
        <v>26</v>
      </c>
      <c r="D17" s="5" t="s">
        <v>27</v>
      </c>
      <c r="E17" s="5" t="s">
        <v>28</v>
      </c>
      <c r="F17" s="5" t="s">
        <v>29</v>
      </c>
      <c r="G17" s="5" t="s">
        <v>30</v>
      </c>
    </row>
    <row r="18" customFormat="false" ht="15" hidden="false" customHeight="false" outlineLevel="0" collapsed="false">
      <c r="B18" s="7" t="n">
        <v>1996</v>
      </c>
      <c r="C18" s="8" t="s">
        <v>48</v>
      </c>
      <c r="D18" s="8" t="s">
        <v>8</v>
      </c>
      <c r="E18" s="2" t="n">
        <f aca="false">468+461+463</f>
        <v>1392</v>
      </c>
      <c r="F18" s="9" t="s">
        <v>32</v>
      </c>
      <c r="G18" s="10" t="s">
        <v>33</v>
      </c>
    </row>
    <row r="19" customFormat="false" ht="15" hidden="false" customHeight="false" outlineLevel="0" collapsed="false">
      <c r="B19" s="7"/>
      <c r="C19" s="8" t="s">
        <v>49</v>
      </c>
      <c r="D19" s="8" t="s">
        <v>9</v>
      </c>
      <c r="E19" s="2" t="n">
        <f aca="false">459+455+455</f>
        <v>1369</v>
      </c>
      <c r="F19" s="9" t="s">
        <v>32</v>
      </c>
      <c r="G19" s="10" t="s">
        <v>33</v>
      </c>
    </row>
    <row r="20" customFormat="false" ht="15" hidden="false" customHeight="false" outlineLevel="0" collapsed="false">
      <c r="B20" s="7"/>
      <c r="C20" s="8" t="s">
        <v>50</v>
      </c>
      <c r="D20" s="8" t="s">
        <v>3</v>
      </c>
      <c r="E20" s="2" t="n">
        <f aca="false">455+454+452</f>
        <v>1361</v>
      </c>
      <c r="F20" s="9" t="s">
        <v>32</v>
      </c>
      <c r="G20" s="10" t="s">
        <v>33</v>
      </c>
    </row>
    <row r="21" customFormat="false" ht="15" hidden="false" customHeight="false" outlineLevel="0" collapsed="false">
      <c r="B21" s="7"/>
      <c r="C21" s="8" t="s">
        <v>51</v>
      </c>
      <c r="D21" s="8" t="s">
        <v>10</v>
      </c>
      <c r="E21" s="2" t="n">
        <f aca="false">453+453+453</f>
        <v>1359</v>
      </c>
      <c r="F21" s="9" t="s">
        <v>32</v>
      </c>
      <c r="G21" s="10" t="s">
        <v>33</v>
      </c>
    </row>
    <row r="22" customFormat="false" ht="15" hidden="false" customHeight="false" outlineLevel="0" collapsed="false">
      <c r="B22" s="7"/>
      <c r="C22" s="8" t="s">
        <v>52</v>
      </c>
      <c r="D22" s="8" t="s">
        <v>2</v>
      </c>
      <c r="E22" s="2" t="n">
        <f aca="false">228+225+231+229+489+224</f>
        <v>1626</v>
      </c>
      <c r="F22" s="9" t="s">
        <v>32</v>
      </c>
      <c r="G22" s="10" t="s">
        <v>33</v>
      </c>
    </row>
    <row r="23" customFormat="false" ht="15" hidden="false" customHeight="false" outlineLevel="0" collapsed="false">
      <c r="B23" s="7"/>
      <c r="C23" s="8" t="s">
        <v>53</v>
      </c>
      <c r="D23" s="8" t="s">
        <v>6</v>
      </c>
      <c r="E23" s="2" t="n">
        <f aca="false">222+223+222+220+247+240</f>
        <v>1374</v>
      </c>
      <c r="F23" s="9" t="s">
        <v>32</v>
      </c>
      <c r="G23" s="10" t="s">
        <v>33</v>
      </c>
    </row>
    <row r="24" customFormat="false" ht="15" hidden="false" customHeight="false" outlineLevel="0" collapsed="false">
      <c r="B24" s="7"/>
      <c r="C24" s="8" t="s">
        <v>54</v>
      </c>
      <c r="D24" s="8" t="s">
        <v>7</v>
      </c>
      <c r="E24" s="2" t="n">
        <f aca="false">166+166+149+146+152+59+59+59+59+59+28+28+28+28+28</f>
        <v>1214</v>
      </c>
      <c r="F24" s="9" t="s">
        <v>32</v>
      </c>
      <c r="G24" s="10" t="s">
        <v>33</v>
      </c>
    </row>
    <row r="25" customFormat="false" ht="15" hidden="false" customHeight="false" outlineLevel="0" collapsed="false">
      <c r="B25" s="7"/>
      <c r="C25" s="8" t="s">
        <v>55</v>
      </c>
      <c r="D25" s="8" t="s">
        <v>5</v>
      </c>
      <c r="E25" s="2" t="n">
        <f aca="false">153+156+153+154+157+161+59+57+59+58+58+58+28+28+28+28+8+8</f>
        <v>1411</v>
      </c>
      <c r="F25" s="9" t="s">
        <v>32</v>
      </c>
      <c r="G25" s="10" t="s">
        <v>33</v>
      </c>
    </row>
    <row r="26" customFormat="false" ht="15" hidden="false" customHeight="false" outlineLevel="0" collapsed="false">
      <c r="E26" s="14" t="n">
        <f aca="false">SUM(E18:E25)</f>
        <v>11106</v>
      </c>
    </row>
    <row r="28" customFormat="false" ht="15" hidden="false" customHeight="false" outlineLevel="0" collapsed="false">
      <c r="B28" s="5" t="s">
        <v>25</v>
      </c>
      <c r="C28" s="5" t="s">
        <v>26</v>
      </c>
      <c r="D28" s="5" t="s">
        <v>27</v>
      </c>
      <c r="E28" s="5" t="s">
        <v>28</v>
      </c>
      <c r="F28" s="5" t="s">
        <v>29</v>
      </c>
      <c r="G28" s="5" t="s">
        <v>30</v>
      </c>
    </row>
    <row r="29" customFormat="false" ht="15" hidden="false" customHeight="false" outlineLevel="0" collapsed="false">
      <c r="B29" s="7" t="n">
        <v>1995</v>
      </c>
      <c r="C29" s="8" t="s">
        <v>56</v>
      </c>
      <c r="D29" s="8" t="s">
        <v>2</v>
      </c>
      <c r="E29" s="2" t="n">
        <f aca="false">745+742+744</f>
        <v>2231</v>
      </c>
      <c r="F29" s="9" t="s">
        <v>32</v>
      </c>
      <c r="G29" s="10"/>
    </row>
    <row r="30" customFormat="false" ht="15" hidden="false" customHeight="false" outlineLevel="0" collapsed="false">
      <c r="B30" s="7"/>
      <c r="C30" s="8" t="s">
        <v>57</v>
      </c>
      <c r="D30" s="8" t="s">
        <v>9</v>
      </c>
      <c r="E30" s="2" t="n">
        <v>743</v>
      </c>
      <c r="F30" s="9" t="s">
        <v>32</v>
      </c>
      <c r="G30" s="10" t="s">
        <v>33</v>
      </c>
    </row>
    <row r="31" customFormat="false" ht="15" hidden="false" customHeight="false" outlineLevel="0" collapsed="false">
      <c r="B31" s="7"/>
      <c r="C31" s="8" t="s">
        <v>58</v>
      </c>
      <c r="D31" s="8" t="s">
        <v>8</v>
      </c>
      <c r="E31" s="2" t="n">
        <f aca="false">737+738</f>
        <v>1475</v>
      </c>
      <c r="F31" s="9" t="s">
        <v>32</v>
      </c>
      <c r="G31" s="10"/>
    </row>
    <row r="32" customFormat="false" ht="15" hidden="false" customHeight="false" outlineLevel="0" collapsed="false">
      <c r="B32" s="7"/>
      <c r="C32" s="8" t="s">
        <v>59</v>
      </c>
      <c r="D32" s="8" t="s">
        <v>1</v>
      </c>
      <c r="E32" s="2" t="n">
        <f aca="false">475+473+472</f>
        <v>1420</v>
      </c>
      <c r="F32" s="9" t="s">
        <v>32</v>
      </c>
      <c r="G32" s="10" t="s">
        <v>33</v>
      </c>
    </row>
    <row r="33" customFormat="false" ht="15" hidden="false" customHeight="false" outlineLevel="0" collapsed="false">
      <c r="B33" s="7"/>
      <c r="C33" s="8" t="s">
        <v>60</v>
      </c>
      <c r="D33" s="8" t="s">
        <v>4</v>
      </c>
      <c r="E33" s="2" t="n">
        <f aca="false">473+470+471</f>
        <v>1414</v>
      </c>
      <c r="F33" s="9" t="s">
        <v>32</v>
      </c>
      <c r="G33" s="10"/>
    </row>
    <row r="34" customFormat="false" ht="15" hidden="false" customHeight="false" outlineLevel="0" collapsed="false">
      <c r="B34" s="7"/>
      <c r="C34" s="8" t="s">
        <v>61</v>
      </c>
      <c r="D34" s="8" t="s">
        <v>6</v>
      </c>
      <c r="E34" s="2" t="n">
        <f aca="false">162+161+161+161+160+159+252+228+230+230+229+229</f>
        <v>2362</v>
      </c>
      <c r="F34" s="9" t="s">
        <v>32</v>
      </c>
      <c r="G34" s="10"/>
    </row>
    <row r="35" customFormat="false" ht="15" hidden="false" customHeight="false" outlineLevel="0" collapsed="false">
      <c r="B35" s="7"/>
      <c r="C35" s="8" t="s">
        <v>62</v>
      </c>
      <c r="D35" s="8" t="s">
        <v>7</v>
      </c>
      <c r="E35" s="2" t="n">
        <f aca="false">22+22+22+22+22+22+59+59+59+59+59+59+10+10+10+10+10+10+29+29+29+28+28+28</f>
        <v>717</v>
      </c>
      <c r="F35" s="9" t="s">
        <v>32</v>
      </c>
      <c r="G35" s="10"/>
    </row>
    <row r="36" customFormat="false" ht="15" hidden="false" customHeight="false" outlineLevel="0" collapsed="false">
      <c r="B36" s="7"/>
      <c r="C36" s="8" t="s">
        <v>63</v>
      </c>
      <c r="D36" s="8" t="s">
        <v>3</v>
      </c>
      <c r="E36" s="2" t="n">
        <f aca="false">45+43+44+45+45+45+152+175+172+173+174+174</f>
        <v>1287</v>
      </c>
      <c r="F36" s="9" t="s">
        <v>32</v>
      </c>
      <c r="G36" s="10"/>
    </row>
    <row r="37" customFormat="false" ht="15" hidden="false" customHeight="false" outlineLevel="0" collapsed="false">
      <c r="E37" s="14" t="n">
        <f aca="false">SUM(E29:E36)</f>
        <v>11649</v>
      </c>
    </row>
    <row r="39" customFormat="false" ht="15" hidden="false" customHeight="false" outlineLevel="0" collapsed="false">
      <c r="B39" s="5" t="s">
        <v>25</v>
      </c>
      <c r="C39" s="5" t="s">
        <v>26</v>
      </c>
      <c r="D39" s="5" t="s">
        <v>27</v>
      </c>
      <c r="E39" s="5" t="s">
        <v>28</v>
      </c>
      <c r="F39" s="5" t="s">
        <v>29</v>
      </c>
      <c r="G39" s="5" t="s">
        <v>30</v>
      </c>
    </row>
    <row r="40" customFormat="false" ht="15" hidden="false" customHeight="false" outlineLevel="0" collapsed="false">
      <c r="B40" s="7" t="n">
        <v>1994</v>
      </c>
      <c r="C40" s="8" t="s">
        <v>64</v>
      </c>
      <c r="D40" s="8" t="s">
        <v>1</v>
      </c>
      <c r="E40" s="2" t="n">
        <f aca="false">741+738+744</f>
        <v>2223</v>
      </c>
      <c r="F40" s="9" t="s">
        <v>32</v>
      </c>
      <c r="G40" s="10"/>
    </row>
    <row r="41" customFormat="false" ht="15" hidden="false" customHeight="false" outlineLevel="0" collapsed="false">
      <c r="B41" s="7"/>
      <c r="C41" s="8" t="s">
        <v>65</v>
      </c>
      <c r="D41" s="8" t="s">
        <v>9</v>
      </c>
      <c r="E41" s="2" t="n">
        <f aca="false">746+748+745</f>
        <v>2239</v>
      </c>
      <c r="F41" s="9" t="s">
        <v>32</v>
      </c>
      <c r="G41" s="10"/>
    </row>
    <row r="42" customFormat="false" ht="15" hidden="false" customHeight="false" outlineLevel="0" collapsed="false">
      <c r="B42" s="7"/>
      <c r="C42" s="8" t="s">
        <v>66</v>
      </c>
      <c r="D42" s="8" t="s">
        <v>5</v>
      </c>
      <c r="E42" s="2" t="n">
        <f aca="false">746+747+538</f>
        <v>2031</v>
      </c>
      <c r="F42" s="12" t="s">
        <v>37</v>
      </c>
      <c r="G42" s="10"/>
    </row>
    <row r="43" customFormat="false" ht="15" hidden="false" customHeight="false" outlineLevel="0" collapsed="false">
      <c r="B43" s="7"/>
      <c r="C43" s="8" t="s">
        <v>67</v>
      </c>
      <c r="D43" s="8" t="s">
        <v>8</v>
      </c>
      <c r="E43" s="2" t="n">
        <f aca="false">747+749+749</f>
        <v>2245</v>
      </c>
      <c r="F43" s="9" t="s">
        <v>32</v>
      </c>
      <c r="G43" s="10"/>
    </row>
    <row r="44" customFormat="false" ht="15" hidden="false" customHeight="false" outlineLevel="0" collapsed="false">
      <c r="B44" s="7"/>
      <c r="C44" s="8" t="s">
        <v>68</v>
      </c>
      <c r="D44" s="8" t="s">
        <v>10</v>
      </c>
      <c r="E44" s="2" t="n">
        <f aca="false">91+102+101+129+130+151+155+156+158+158+161+162</f>
        <v>1654</v>
      </c>
      <c r="F44" s="9" t="s">
        <v>32</v>
      </c>
      <c r="G44" s="10"/>
    </row>
    <row r="45" customFormat="false" ht="15" hidden="false" customHeight="false" outlineLevel="0" collapsed="false">
      <c r="B45" s="7"/>
      <c r="C45" s="8" t="s">
        <v>69</v>
      </c>
      <c r="D45" s="8" t="s">
        <v>4</v>
      </c>
      <c r="E45" s="2" t="n">
        <f aca="false">49+49+47+46+46+46+45+45+45+45+45+45+10+10+10+10+10+10+10+10+10+10+10+10+23+23+20+20+22+22+22+22+22+22+22+22</f>
        <v>935</v>
      </c>
      <c r="F45" s="9" t="s">
        <v>32</v>
      </c>
      <c r="G45" s="10"/>
    </row>
    <row r="46" customFormat="false" ht="15" hidden="false" customHeight="false" outlineLevel="0" collapsed="false">
      <c r="E46" s="14" t="n">
        <f aca="false">SUM(E40:E45)</f>
        <v>11327</v>
      </c>
    </row>
    <row r="48" customFormat="false" ht="15" hidden="false" customHeight="false" outlineLevel="0" collapsed="false">
      <c r="B48" s="5" t="s">
        <v>25</v>
      </c>
      <c r="C48" s="5" t="s">
        <v>26</v>
      </c>
      <c r="D48" s="5" t="s">
        <v>27</v>
      </c>
      <c r="E48" s="5" t="s">
        <v>28</v>
      </c>
      <c r="F48" s="5" t="s">
        <v>29</v>
      </c>
      <c r="G48" s="5" t="s">
        <v>30</v>
      </c>
    </row>
    <row r="49" customFormat="false" ht="15" hidden="false" customHeight="false" outlineLevel="0" collapsed="false">
      <c r="B49" s="7" t="n">
        <v>1993</v>
      </c>
      <c r="C49" s="8" t="s">
        <v>70</v>
      </c>
      <c r="D49" s="8" t="s">
        <v>3</v>
      </c>
      <c r="E49" s="3" t="n">
        <f aca="false">493+492+494</f>
        <v>1479</v>
      </c>
      <c r="F49" s="9" t="s">
        <v>32</v>
      </c>
      <c r="G49" s="10"/>
    </row>
    <row r="50" customFormat="false" ht="15" hidden="false" customHeight="false" outlineLevel="0" collapsed="false">
      <c r="B50" s="7"/>
      <c r="C50" s="8" t="s">
        <v>71</v>
      </c>
      <c r="D50" s="8" t="s">
        <v>4</v>
      </c>
      <c r="E50" s="3" t="n">
        <f aca="false">494+490+487</f>
        <v>1471</v>
      </c>
      <c r="F50" s="9" t="s">
        <v>32</v>
      </c>
      <c r="G50" s="10"/>
    </row>
    <row r="51" customFormat="false" ht="15" hidden="false" customHeight="false" outlineLevel="0" collapsed="false">
      <c r="B51" s="7"/>
      <c r="C51" s="8" t="s">
        <v>72</v>
      </c>
      <c r="D51" s="8" t="s">
        <v>6</v>
      </c>
      <c r="E51" s="3" t="n">
        <f aca="false">491+492+491</f>
        <v>1474</v>
      </c>
      <c r="F51" s="9" t="s">
        <v>32</v>
      </c>
      <c r="G51" s="10"/>
    </row>
    <row r="52" customFormat="false" ht="15" hidden="false" customHeight="false" outlineLevel="0" collapsed="false">
      <c r="B52" s="7"/>
      <c r="C52" s="8" t="s">
        <v>73</v>
      </c>
      <c r="D52" s="8" t="s">
        <v>10</v>
      </c>
      <c r="E52" s="3" t="n">
        <f aca="false">490+744+743</f>
        <v>1977</v>
      </c>
      <c r="F52" s="9" t="s">
        <v>32</v>
      </c>
      <c r="G52" s="10"/>
    </row>
    <row r="53" customFormat="false" ht="15" hidden="false" customHeight="false" outlineLevel="0" collapsed="false">
      <c r="B53" s="7"/>
      <c r="C53" s="8" t="s">
        <v>74</v>
      </c>
      <c r="D53" s="8" t="s">
        <v>2</v>
      </c>
      <c r="E53" s="3" t="n">
        <f aca="false">108+110+114+130+135+138+147+152+159+162+81+83</f>
        <v>1519</v>
      </c>
      <c r="F53" s="9" t="s">
        <v>32</v>
      </c>
      <c r="G53" s="10"/>
    </row>
    <row r="54" customFormat="false" ht="15" hidden="false" customHeight="false" outlineLevel="0" collapsed="false">
      <c r="B54" s="7"/>
      <c r="C54" s="8" t="s">
        <v>75</v>
      </c>
      <c r="D54" s="8"/>
      <c r="E54" s="3" t="n">
        <f aca="false">59+59+59+59+59+58+59+59+59+59+23+23+30+30+12+10</f>
        <v>717</v>
      </c>
      <c r="F54" s="11" t="s">
        <v>35</v>
      </c>
      <c r="G54" s="10"/>
    </row>
    <row r="55" customFormat="false" ht="15" hidden="false" customHeight="false" outlineLevel="0" collapsed="false">
      <c r="B55" s="7"/>
      <c r="C55" s="8" t="s">
        <v>76</v>
      </c>
      <c r="D55" s="8" t="s">
        <v>7</v>
      </c>
      <c r="E55" s="3" t="n">
        <f aca="false">161+175+174+174+174+185+187+187+157+156+48+49</f>
        <v>1827</v>
      </c>
      <c r="F55" s="9" t="s">
        <v>32</v>
      </c>
      <c r="G55" s="8"/>
    </row>
    <row r="56" customFormat="false" ht="15" hidden="false" customHeight="false" outlineLevel="0" collapsed="false">
      <c r="E56" s="14" t="n">
        <f aca="false">SUM(E49:E55)</f>
        <v>10464</v>
      </c>
    </row>
    <row r="58" customFormat="false" ht="15" hidden="false" customHeight="false" outlineLevel="0" collapsed="false">
      <c r="B58" s="5" t="s">
        <v>25</v>
      </c>
      <c r="C58" s="5" t="s">
        <v>26</v>
      </c>
      <c r="D58" s="5" t="s">
        <v>27</v>
      </c>
      <c r="E58" s="5" t="s">
        <v>28</v>
      </c>
      <c r="F58" s="5" t="s">
        <v>29</v>
      </c>
      <c r="G58" s="5" t="s">
        <v>30</v>
      </c>
    </row>
    <row r="59" customFormat="false" ht="15" hidden="false" customHeight="false" outlineLevel="0" collapsed="false">
      <c r="B59" s="7" t="n">
        <v>1992</v>
      </c>
      <c r="C59" s="8" t="s">
        <v>77</v>
      </c>
      <c r="D59" s="8" t="s">
        <v>7</v>
      </c>
      <c r="E59" s="3" t="n">
        <f aca="false">521+525+523</f>
        <v>1569</v>
      </c>
      <c r="F59" s="12" t="s">
        <v>37</v>
      </c>
      <c r="G59" s="10"/>
    </row>
    <row r="60" customFormat="false" ht="15" hidden="false" customHeight="false" outlineLevel="0" collapsed="false">
      <c r="B60" s="7"/>
      <c r="C60" s="8" t="s">
        <v>78</v>
      </c>
      <c r="D60" s="8" t="s">
        <v>4</v>
      </c>
      <c r="E60" s="3" t="n">
        <f aca="false">516+517+515</f>
        <v>1548</v>
      </c>
      <c r="F60" s="12" t="s">
        <v>37</v>
      </c>
      <c r="G60" s="10"/>
    </row>
    <row r="61" customFormat="false" ht="15" hidden="false" customHeight="false" outlineLevel="0" collapsed="false">
      <c r="B61" s="7"/>
      <c r="C61" s="8" t="s">
        <v>79</v>
      </c>
      <c r="D61" s="8" t="s">
        <v>6</v>
      </c>
      <c r="E61" s="3" t="n">
        <f aca="false">514+509+498</f>
        <v>1521</v>
      </c>
      <c r="F61" s="12" t="s">
        <v>37</v>
      </c>
      <c r="G61" s="10"/>
    </row>
    <row r="62" customFormat="false" ht="15" hidden="false" customHeight="false" outlineLevel="0" collapsed="false">
      <c r="B62" s="7"/>
      <c r="C62" s="8" t="s">
        <v>80</v>
      </c>
      <c r="D62" s="8" t="s">
        <v>81</v>
      </c>
      <c r="E62" s="3" t="n">
        <f aca="false">496+498+494</f>
        <v>1488</v>
      </c>
      <c r="F62" s="12" t="s">
        <v>37</v>
      </c>
      <c r="G62" s="10"/>
    </row>
    <row r="63" customFormat="false" ht="15" hidden="false" customHeight="false" outlineLevel="0" collapsed="false">
      <c r="B63" s="7"/>
      <c r="C63" s="8" t="s">
        <v>82</v>
      </c>
      <c r="D63" s="8" t="s">
        <v>2</v>
      </c>
      <c r="E63" s="3" t="n">
        <f aca="false">93+92+93+92+94+94+102+101+103+109+109+110+58+59+59+59+59+59+59+59+59+59+59+59</f>
        <v>1899</v>
      </c>
      <c r="F63" s="12" t="s">
        <v>37</v>
      </c>
      <c r="G63" s="10"/>
    </row>
    <row r="64" customFormat="false" ht="15" hidden="false" customHeight="false" outlineLevel="0" collapsed="false">
      <c r="B64" s="7"/>
      <c r="C64" s="8" t="s">
        <v>83</v>
      </c>
      <c r="D64" s="8"/>
      <c r="E64" s="3" t="n">
        <f aca="false">160+160+162+164+165+165+166+164+164+162+160+160</f>
        <v>1952</v>
      </c>
      <c r="F64" s="11" t="s">
        <v>35</v>
      </c>
      <c r="G64" s="10"/>
    </row>
    <row r="65" customFormat="false" ht="15" hidden="false" customHeight="false" outlineLevel="0" collapsed="false">
      <c r="E65" s="1" t="n">
        <f aca="false">SUM(E59:E64)</f>
        <v>9977</v>
      </c>
    </row>
    <row r="67" customFormat="false" ht="15" hidden="false" customHeight="false" outlineLevel="0" collapsed="false">
      <c r="B67" s="5" t="s">
        <v>25</v>
      </c>
      <c r="C67" s="5" t="s">
        <v>26</v>
      </c>
      <c r="D67" s="5" t="s">
        <v>27</v>
      </c>
      <c r="E67" s="5" t="s">
        <v>28</v>
      </c>
      <c r="F67" s="5" t="s">
        <v>29</v>
      </c>
      <c r="G67" s="5" t="s">
        <v>30</v>
      </c>
    </row>
    <row r="68" customFormat="false" ht="15" hidden="false" customHeight="false" outlineLevel="0" collapsed="false">
      <c r="B68" s="7" t="n">
        <v>1991</v>
      </c>
      <c r="C68" s="8" t="s">
        <v>84</v>
      </c>
      <c r="D68" s="8" t="s">
        <v>1</v>
      </c>
      <c r="E68" s="3"/>
      <c r="F68" s="12" t="s">
        <v>37</v>
      </c>
      <c r="G68" s="10"/>
    </row>
    <row r="69" customFormat="false" ht="15" hidden="false" customHeight="false" outlineLevel="0" collapsed="false">
      <c r="B69" s="7"/>
      <c r="C69" s="8" t="s">
        <v>85</v>
      </c>
      <c r="D69" s="8" t="s">
        <v>3</v>
      </c>
      <c r="E69" s="3"/>
      <c r="F69" s="12" t="s">
        <v>37</v>
      </c>
      <c r="G69" s="10"/>
    </row>
    <row r="70" customFormat="false" ht="15" hidden="false" customHeight="false" outlineLevel="0" collapsed="false">
      <c r="B70" s="7"/>
      <c r="C70" s="8" t="s">
        <v>86</v>
      </c>
      <c r="D70" s="8" t="s">
        <v>10</v>
      </c>
      <c r="E70" s="3"/>
      <c r="F70" s="12" t="s">
        <v>37</v>
      </c>
      <c r="G70" s="10"/>
    </row>
    <row r="71" customFormat="false" ht="15" hidden="false" customHeight="false" outlineLevel="0" collapsed="false">
      <c r="B71" s="7"/>
      <c r="C71" s="8" t="s">
        <v>87</v>
      </c>
      <c r="D71" s="8" t="s">
        <v>8</v>
      </c>
      <c r="E71" s="3"/>
      <c r="F71" s="12" t="s">
        <v>37</v>
      </c>
      <c r="G71" s="10"/>
    </row>
    <row r="72" customFormat="false" ht="15" hidden="false" customHeight="false" outlineLevel="0" collapsed="false">
      <c r="B72" s="7"/>
      <c r="C72" s="8" t="s">
        <v>88</v>
      </c>
      <c r="D72" s="8" t="s">
        <v>2</v>
      </c>
      <c r="E72" s="3"/>
      <c r="F72" s="9" t="s">
        <v>32</v>
      </c>
      <c r="G72" s="10"/>
    </row>
    <row r="73" customFormat="false" ht="15" hidden="false" customHeight="false" outlineLevel="0" collapsed="false">
      <c r="B73" s="7"/>
      <c r="C73" s="8" t="s">
        <v>89</v>
      </c>
      <c r="D73" s="8" t="s">
        <v>9</v>
      </c>
      <c r="E73" s="3"/>
      <c r="F73" s="12" t="s">
        <v>37</v>
      </c>
      <c r="G73" s="10"/>
    </row>
    <row r="74" customFormat="false" ht="15" hidden="false" customHeight="false" outlineLevel="0" collapsed="false">
      <c r="E74" s="1" t="n">
        <f aca="false">SUM(E68:E73)</f>
        <v>0</v>
      </c>
    </row>
    <row r="76" customFormat="false" ht="15" hidden="false" customHeight="false" outlineLevel="0" collapsed="false">
      <c r="B76" s="5" t="s">
        <v>25</v>
      </c>
      <c r="C76" s="5" t="s">
        <v>26</v>
      </c>
      <c r="D76" s="5" t="s">
        <v>27</v>
      </c>
      <c r="E76" s="5" t="s">
        <v>28</v>
      </c>
      <c r="F76" s="5" t="s">
        <v>29</v>
      </c>
      <c r="G76" s="5" t="s">
        <v>30</v>
      </c>
    </row>
    <row r="77" customFormat="false" ht="15" hidden="false" customHeight="false" outlineLevel="0" collapsed="false">
      <c r="B77" s="7" t="n">
        <v>1990</v>
      </c>
      <c r="C77" s="8" t="s">
        <v>90</v>
      </c>
      <c r="D77" s="8"/>
      <c r="E77" s="2"/>
      <c r="F77" s="11" t="s">
        <v>35</v>
      </c>
      <c r="G77" s="10"/>
    </row>
    <row r="78" customFormat="false" ht="15" hidden="false" customHeight="false" outlineLevel="0" collapsed="false">
      <c r="B78" s="7"/>
      <c r="C78" s="8" t="s">
        <v>91</v>
      </c>
      <c r="D78" s="8"/>
      <c r="E78" s="2"/>
      <c r="F78" s="11" t="s">
        <v>35</v>
      </c>
      <c r="G78" s="10"/>
    </row>
    <row r="79" customFormat="false" ht="15" hidden="false" customHeight="false" outlineLevel="0" collapsed="false">
      <c r="B79" s="7"/>
      <c r="C79" s="8" t="s">
        <v>92</v>
      </c>
      <c r="D79" s="8"/>
      <c r="E79" s="2"/>
      <c r="F79" s="11" t="s">
        <v>35</v>
      </c>
      <c r="G79" s="10"/>
    </row>
    <row r="80" customFormat="false" ht="15" hidden="false" customHeight="false" outlineLevel="0" collapsed="false">
      <c r="B80" s="7"/>
      <c r="C80" s="8" t="s">
        <v>93</v>
      </c>
      <c r="D80" s="8"/>
      <c r="E80" s="2"/>
      <c r="F80" s="11" t="s">
        <v>35</v>
      </c>
      <c r="G80" s="10"/>
    </row>
    <row r="81" customFormat="false" ht="15" hidden="false" customHeight="false" outlineLevel="0" collapsed="false">
      <c r="B81" s="7"/>
      <c r="C81" s="8" t="s">
        <v>94</v>
      </c>
      <c r="D81" s="8"/>
      <c r="E81" s="2"/>
      <c r="F81" s="11" t="s">
        <v>35</v>
      </c>
      <c r="G81" s="10"/>
    </row>
    <row r="82" customFormat="false" ht="15" hidden="false" customHeight="false" outlineLevel="0" collapsed="false">
      <c r="B82" s="7"/>
      <c r="C82" s="8" t="s">
        <v>95</v>
      </c>
      <c r="D82" s="8"/>
      <c r="E82" s="2"/>
      <c r="F82" s="11" t="s">
        <v>35</v>
      </c>
      <c r="G82" s="10"/>
    </row>
    <row r="83" customFormat="false" ht="15" hidden="false" customHeight="false" outlineLevel="0" collapsed="false">
      <c r="B83" s="7"/>
      <c r="C83" s="8" t="s">
        <v>96</v>
      </c>
      <c r="D83" s="8"/>
      <c r="E83" s="2"/>
      <c r="F83" s="11" t="s">
        <v>35</v>
      </c>
      <c r="G83" s="10"/>
    </row>
    <row r="84" customFormat="false" ht="15" hidden="false" customHeight="false" outlineLevel="0" collapsed="false">
      <c r="B84" s="7"/>
      <c r="C84" s="8" t="s">
        <v>97</v>
      </c>
      <c r="D84" s="8"/>
      <c r="E84" s="2"/>
      <c r="F84" s="11" t="s">
        <v>35</v>
      </c>
      <c r="G84" s="10"/>
    </row>
    <row r="85" customFormat="false" ht="15" hidden="false" customHeight="false" outlineLevel="0" collapsed="false">
      <c r="E85" s="14" t="n">
        <f aca="false">SUM(E77:E84)</f>
        <v>0</v>
      </c>
    </row>
    <row r="87" customFormat="false" ht="15" hidden="false" customHeight="false" outlineLevel="0" collapsed="false">
      <c r="B87" s="5" t="s">
        <v>25</v>
      </c>
      <c r="C87" s="5" t="s">
        <v>26</v>
      </c>
      <c r="D87" s="5" t="s">
        <v>27</v>
      </c>
      <c r="E87" s="5" t="s">
        <v>28</v>
      </c>
      <c r="F87" s="5" t="s">
        <v>29</v>
      </c>
      <c r="G87" s="5" t="s">
        <v>30</v>
      </c>
    </row>
    <row r="88" customFormat="false" ht="15" hidden="false" customHeight="false" outlineLevel="0" collapsed="false">
      <c r="B88" s="7" t="n">
        <v>1989</v>
      </c>
      <c r="C88" s="8" t="s">
        <v>98</v>
      </c>
      <c r="D88" s="8"/>
      <c r="E88" s="3"/>
      <c r="F88" s="11" t="s">
        <v>35</v>
      </c>
      <c r="G88" s="10"/>
    </row>
    <row r="89" customFormat="false" ht="15" hidden="false" customHeight="false" outlineLevel="0" collapsed="false">
      <c r="B89" s="7"/>
      <c r="C89" s="8" t="s">
        <v>99</v>
      </c>
      <c r="D89" s="8"/>
      <c r="E89" s="3"/>
      <c r="F89" s="11" t="s">
        <v>35</v>
      </c>
      <c r="G89" s="10"/>
    </row>
    <row r="90" customFormat="false" ht="15" hidden="false" customHeight="false" outlineLevel="0" collapsed="false">
      <c r="B90" s="7"/>
      <c r="C90" s="8" t="s">
        <v>99</v>
      </c>
      <c r="D90" s="8"/>
      <c r="E90" s="3"/>
      <c r="F90" s="11" t="s">
        <v>35</v>
      </c>
      <c r="G90" s="10"/>
    </row>
    <row r="91" customFormat="false" ht="15" hidden="false" customHeight="false" outlineLevel="0" collapsed="false">
      <c r="B91" s="7"/>
      <c r="C91" s="8" t="s">
        <v>100</v>
      </c>
      <c r="D91" s="8"/>
      <c r="E91" s="3"/>
      <c r="F91" s="11" t="s">
        <v>35</v>
      </c>
      <c r="G91" s="10"/>
    </row>
    <row r="92" customFormat="false" ht="15" hidden="false" customHeight="false" outlineLevel="0" collapsed="false">
      <c r="B92" s="7"/>
      <c r="C92" s="8" t="s">
        <v>101</v>
      </c>
      <c r="D92" s="8"/>
      <c r="E92" s="3"/>
      <c r="F92" s="11" t="s">
        <v>35</v>
      </c>
      <c r="G92" s="10"/>
    </row>
    <row r="93" customFormat="false" ht="15" hidden="false" customHeight="false" outlineLevel="0" collapsed="false">
      <c r="B93" s="7"/>
      <c r="C93" s="8" t="s">
        <v>102</v>
      </c>
      <c r="D93" s="8"/>
      <c r="E93" s="3"/>
      <c r="F93" s="11" t="s">
        <v>35</v>
      </c>
      <c r="G93" s="10"/>
    </row>
    <row r="94" customFormat="false" ht="15" hidden="false" customHeight="false" outlineLevel="0" collapsed="false">
      <c r="B94" s="7"/>
      <c r="C94" s="8" t="s">
        <v>103</v>
      </c>
      <c r="D94" s="8"/>
      <c r="E94" s="3"/>
      <c r="F94" s="11" t="s">
        <v>35</v>
      </c>
      <c r="G94" s="10"/>
    </row>
    <row r="95" customFormat="false" ht="15" hidden="false" customHeight="false" outlineLevel="0" collapsed="false">
      <c r="B95" s="7"/>
      <c r="C95" s="8" t="s">
        <v>104</v>
      </c>
      <c r="D95" s="8"/>
      <c r="E95" s="3"/>
      <c r="F95" s="11" t="s">
        <v>35</v>
      </c>
      <c r="G95" s="10"/>
    </row>
    <row r="96" customFormat="false" ht="15" hidden="false" customHeight="false" outlineLevel="0" collapsed="false">
      <c r="B96" s="7"/>
      <c r="C96" s="8" t="s">
        <v>105</v>
      </c>
      <c r="D96" s="8"/>
      <c r="E96" s="3"/>
      <c r="F96" s="11" t="s">
        <v>35</v>
      </c>
      <c r="G96" s="10"/>
    </row>
    <row r="97" customFormat="false" ht="15" hidden="false" customHeight="false" outlineLevel="0" collapsed="false">
      <c r="B97" s="7"/>
      <c r="C97" s="8" t="s">
        <v>106</v>
      </c>
      <c r="D97" s="8"/>
      <c r="E97" s="3"/>
      <c r="F97" s="11" t="s">
        <v>35</v>
      </c>
      <c r="G97" s="10"/>
    </row>
    <row r="98" customFormat="false" ht="15" hidden="false" customHeight="false" outlineLevel="0" collapsed="false">
      <c r="E98" s="14" t="n">
        <f aca="false">SUM(E88:E97)</f>
        <v>0</v>
      </c>
    </row>
    <row r="100" customFormat="false" ht="15" hidden="false" customHeight="false" outlineLevel="0" collapsed="false">
      <c r="B100" s="5" t="s">
        <v>25</v>
      </c>
      <c r="C100" s="5" t="s">
        <v>26</v>
      </c>
      <c r="D100" s="5" t="s">
        <v>27</v>
      </c>
      <c r="E100" s="5" t="s">
        <v>28</v>
      </c>
      <c r="F100" s="5" t="s">
        <v>29</v>
      </c>
      <c r="G100" s="5" t="s">
        <v>30</v>
      </c>
    </row>
    <row r="101" customFormat="false" ht="15" hidden="false" customHeight="false" outlineLevel="0" collapsed="false">
      <c r="B101" s="7" t="n">
        <v>1988</v>
      </c>
      <c r="C101" s="8"/>
      <c r="D101" s="8"/>
      <c r="E101" s="3"/>
      <c r="F101" s="11" t="s">
        <v>35</v>
      </c>
      <c r="G101" s="10"/>
    </row>
    <row r="102" customFormat="false" ht="15" hidden="false" customHeight="false" outlineLevel="0" collapsed="false">
      <c r="B102" s="7"/>
      <c r="C102" s="8"/>
      <c r="D102" s="8"/>
      <c r="E102" s="3"/>
      <c r="F102" s="11" t="s">
        <v>35</v>
      </c>
      <c r="G102" s="10"/>
    </row>
    <row r="103" customFormat="false" ht="15" hidden="false" customHeight="false" outlineLevel="0" collapsed="false">
      <c r="B103" s="7"/>
      <c r="C103" s="8"/>
      <c r="D103" s="8"/>
      <c r="E103" s="3"/>
      <c r="F103" s="11" t="s">
        <v>35</v>
      </c>
      <c r="G103" s="10"/>
    </row>
    <row r="104" customFormat="false" ht="15" hidden="false" customHeight="false" outlineLevel="0" collapsed="false">
      <c r="B104" s="7"/>
      <c r="C104" s="8"/>
      <c r="D104" s="8"/>
      <c r="E104" s="3"/>
      <c r="F104" s="11" t="s">
        <v>35</v>
      </c>
      <c r="G104" s="10"/>
    </row>
    <row r="105" customFormat="false" ht="15" hidden="false" customHeight="false" outlineLevel="0" collapsed="false">
      <c r="B105" s="7"/>
      <c r="C105" s="8"/>
      <c r="D105" s="8"/>
      <c r="E105" s="3"/>
      <c r="F105" s="11" t="s">
        <v>35</v>
      </c>
      <c r="G105" s="10"/>
    </row>
    <row r="106" customFormat="false" ht="15" hidden="false" customHeight="false" outlineLevel="0" collapsed="false">
      <c r="B106" s="7"/>
      <c r="C106" s="8"/>
      <c r="D106" s="8"/>
      <c r="E106" s="3"/>
      <c r="F106" s="11" t="s">
        <v>35</v>
      </c>
      <c r="G106" s="10"/>
    </row>
    <row r="107" customFormat="false" ht="15" hidden="false" customHeight="false" outlineLevel="0" collapsed="false">
      <c r="B107" s="7"/>
      <c r="C107" s="8"/>
      <c r="D107" s="8"/>
      <c r="E107" s="3"/>
      <c r="F107" s="11" t="s">
        <v>35</v>
      </c>
      <c r="G107" s="10"/>
    </row>
    <row r="108" customFormat="false" ht="15" hidden="false" customHeight="false" outlineLevel="0" collapsed="false">
      <c r="B108" s="7"/>
      <c r="C108" s="8"/>
      <c r="D108" s="8"/>
      <c r="E108" s="3"/>
      <c r="F108" s="11" t="s">
        <v>35</v>
      </c>
      <c r="G108" s="10"/>
    </row>
    <row r="109" customFormat="false" ht="15" hidden="false" customHeight="false" outlineLevel="0" collapsed="false">
      <c r="B109" s="7"/>
      <c r="C109" s="8"/>
      <c r="D109" s="8"/>
      <c r="E109" s="3"/>
      <c r="F109" s="11" t="s">
        <v>35</v>
      </c>
      <c r="G109" s="10"/>
    </row>
    <row r="110" customFormat="false" ht="15" hidden="false" customHeight="false" outlineLevel="0" collapsed="false">
      <c r="B110" s="7"/>
      <c r="C110" s="8"/>
      <c r="D110" s="8"/>
      <c r="E110" s="3"/>
      <c r="F110" s="11" t="s">
        <v>35</v>
      </c>
      <c r="G110" s="10"/>
    </row>
    <row r="111" customFormat="false" ht="15" hidden="false" customHeight="false" outlineLevel="0" collapsed="false">
      <c r="E111" s="14" t="n">
        <f aca="false">SUM(E101:E110)</f>
        <v>0</v>
      </c>
    </row>
    <row r="113" customFormat="false" ht="15" hidden="false" customHeight="false" outlineLevel="0" collapsed="false">
      <c r="B113" s="5" t="s">
        <v>25</v>
      </c>
      <c r="C113" s="5" t="s">
        <v>26</v>
      </c>
      <c r="D113" s="5" t="s">
        <v>27</v>
      </c>
      <c r="E113" s="5" t="s">
        <v>28</v>
      </c>
      <c r="F113" s="5" t="s">
        <v>29</v>
      </c>
      <c r="G113" s="5" t="s">
        <v>30</v>
      </c>
    </row>
    <row r="114" customFormat="false" ht="15" hidden="false" customHeight="false" outlineLevel="0" collapsed="false">
      <c r="B114" s="7" t="n">
        <v>1987</v>
      </c>
      <c r="C114" s="8"/>
      <c r="D114" s="8"/>
      <c r="E114" s="3"/>
      <c r="F114" s="11" t="s">
        <v>35</v>
      </c>
      <c r="G114" s="10"/>
    </row>
    <row r="115" customFormat="false" ht="15" hidden="false" customHeight="false" outlineLevel="0" collapsed="false">
      <c r="B115" s="7"/>
      <c r="C115" s="8"/>
      <c r="D115" s="8"/>
      <c r="E115" s="3"/>
      <c r="F115" s="11" t="s">
        <v>35</v>
      </c>
      <c r="G115" s="10"/>
    </row>
    <row r="116" customFormat="false" ht="15" hidden="false" customHeight="false" outlineLevel="0" collapsed="false">
      <c r="B116" s="7"/>
      <c r="C116" s="8"/>
      <c r="D116" s="8"/>
      <c r="E116" s="3"/>
      <c r="F116" s="11" t="s">
        <v>35</v>
      </c>
      <c r="G116" s="10"/>
    </row>
    <row r="117" customFormat="false" ht="15" hidden="false" customHeight="false" outlineLevel="0" collapsed="false">
      <c r="B117" s="7"/>
      <c r="C117" s="8"/>
      <c r="D117" s="8"/>
      <c r="E117" s="3"/>
      <c r="F117" s="11" t="s">
        <v>35</v>
      </c>
      <c r="G117" s="10"/>
    </row>
    <row r="118" customFormat="false" ht="15" hidden="false" customHeight="false" outlineLevel="0" collapsed="false">
      <c r="B118" s="7"/>
      <c r="C118" s="8"/>
      <c r="D118" s="8"/>
      <c r="E118" s="3"/>
      <c r="F118" s="11" t="s">
        <v>35</v>
      </c>
      <c r="G118" s="10"/>
    </row>
    <row r="119" customFormat="false" ht="15" hidden="false" customHeight="false" outlineLevel="0" collapsed="false">
      <c r="B119" s="7"/>
      <c r="C119" s="8"/>
      <c r="D119" s="8"/>
      <c r="E119" s="3"/>
      <c r="F119" s="11" t="s">
        <v>35</v>
      </c>
      <c r="G119" s="10"/>
    </row>
    <row r="120" customFormat="false" ht="15" hidden="false" customHeight="false" outlineLevel="0" collapsed="false">
      <c r="B120" s="7"/>
      <c r="C120" s="8"/>
      <c r="D120" s="8"/>
      <c r="E120" s="3"/>
      <c r="F120" s="11" t="s">
        <v>35</v>
      </c>
      <c r="G120" s="10"/>
    </row>
    <row r="121" customFormat="false" ht="15" hidden="false" customHeight="false" outlineLevel="0" collapsed="false">
      <c r="B121" s="7"/>
      <c r="C121" s="8"/>
      <c r="D121" s="8"/>
      <c r="E121" s="3"/>
      <c r="F121" s="11" t="s">
        <v>35</v>
      </c>
      <c r="G121" s="10"/>
    </row>
    <row r="122" customFormat="false" ht="15" hidden="false" customHeight="false" outlineLevel="0" collapsed="false">
      <c r="B122" s="7"/>
      <c r="C122" s="8"/>
      <c r="D122" s="8"/>
      <c r="E122" s="3"/>
      <c r="F122" s="11" t="s">
        <v>35</v>
      </c>
      <c r="G122" s="10"/>
    </row>
    <row r="123" customFormat="false" ht="15" hidden="false" customHeight="false" outlineLevel="0" collapsed="false">
      <c r="B123" s="7"/>
      <c r="C123" s="8"/>
      <c r="D123" s="8"/>
      <c r="E123" s="3"/>
      <c r="F123" s="11" t="s">
        <v>35</v>
      </c>
      <c r="G123" s="10"/>
    </row>
    <row r="124" customFormat="false" ht="15" hidden="false" customHeight="false" outlineLevel="0" collapsed="false">
      <c r="E124" s="14" t="n">
        <f aca="false">SUM(E114:E123)</f>
        <v>0</v>
      </c>
    </row>
    <row r="126" customFormat="false" ht="15" hidden="false" customHeight="false" outlineLevel="0" collapsed="false">
      <c r="B126" s="5" t="s">
        <v>25</v>
      </c>
      <c r="C126" s="5" t="s">
        <v>26</v>
      </c>
      <c r="D126" s="5" t="s">
        <v>27</v>
      </c>
      <c r="E126" s="5" t="s">
        <v>28</v>
      </c>
      <c r="F126" s="5" t="s">
        <v>29</v>
      </c>
      <c r="G126" s="5" t="s">
        <v>30</v>
      </c>
    </row>
    <row r="127" customFormat="false" ht="15" hidden="false" customHeight="false" outlineLevel="0" collapsed="false">
      <c r="B127" s="7" t="n">
        <v>1986</v>
      </c>
      <c r="C127" s="8"/>
      <c r="D127" s="8"/>
      <c r="E127" s="3"/>
      <c r="F127" s="11" t="s">
        <v>35</v>
      </c>
      <c r="G127" s="10"/>
    </row>
    <row r="128" customFormat="false" ht="15" hidden="false" customHeight="false" outlineLevel="0" collapsed="false">
      <c r="B128" s="7"/>
      <c r="C128" s="8"/>
      <c r="D128" s="8"/>
      <c r="E128" s="3"/>
      <c r="F128" s="11" t="s">
        <v>35</v>
      </c>
      <c r="G128" s="10"/>
    </row>
    <row r="129" customFormat="false" ht="15" hidden="false" customHeight="false" outlineLevel="0" collapsed="false">
      <c r="B129" s="7"/>
      <c r="C129" s="8"/>
      <c r="D129" s="8"/>
      <c r="E129" s="3"/>
      <c r="F129" s="11" t="s">
        <v>35</v>
      </c>
      <c r="G129" s="10"/>
    </row>
    <row r="130" customFormat="false" ht="15" hidden="false" customHeight="false" outlineLevel="0" collapsed="false">
      <c r="B130" s="7"/>
      <c r="C130" s="8"/>
      <c r="D130" s="8"/>
      <c r="E130" s="3"/>
      <c r="F130" s="11" t="s">
        <v>35</v>
      </c>
      <c r="G130" s="10"/>
    </row>
    <row r="131" customFormat="false" ht="15" hidden="false" customHeight="false" outlineLevel="0" collapsed="false">
      <c r="B131" s="7"/>
      <c r="C131" s="8"/>
      <c r="D131" s="8"/>
      <c r="E131" s="3"/>
      <c r="F131" s="11" t="s">
        <v>35</v>
      </c>
      <c r="G131" s="10"/>
    </row>
    <row r="132" customFormat="false" ht="15" hidden="false" customHeight="false" outlineLevel="0" collapsed="false">
      <c r="B132" s="7"/>
      <c r="C132" s="8"/>
      <c r="D132" s="8"/>
      <c r="E132" s="3"/>
      <c r="F132" s="11" t="s">
        <v>35</v>
      </c>
      <c r="G132" s="10"/>
    </row>
    <row r="133" customFormat="false" ht="15" hidden="false" customHeight="false" outlineLevel="0" collapsed="false">
      <c r="B133" s="7"/>
      <c r="C133" s="8"/>
      <c r="D133" s="8"/>
      <c r="E133" s="3"/>
      <c r="F133" s="11" t="s">
        <v>35</v>
      </c>
      <c r="G133" s="10"/>
    </row>
    <row r="134" customFormat="false" ht="15" hidden="false" customHeight="false" outlineLevel="0" collapsed="false">
      <c r="B134" s="7"/>
      <c r="C134" s="8"/>
      <c r="D134" s="8"/>
      <c r="E134" s="3"/>
      <c r="F134" s="11" t="s">
        <v>35</v>
      </c>
      <c r="G134" s="10"/>
    </row>
    <row r="135" customFormat="false" ht="15" hidden="false" customHeight="false" outlineLevel="0" collapsed="false">
      <c r="B135" s="7"/>
      <c r="C135" s="8"/>
      <c r="D135" s="8"/>
      <c r="E135" s="3"/>
      <c r="F135" s="11" t="s">
        <v>35</v>
      </c>
      <c r="G135" s="10"/>
    </row>
    <row r="136" customFormat="false" ht="15" hidden="false" customHeight="false" outlineLevel="0" collapsed="false">
      <c r="B136" s="7"/>
      <c r="C136" s="8"/>
      <c r="D136" s="8"/>
      <c r="E136" s="3"/>
      <c r="F136" s="11" t="s">
        <v>35</v>
      </c>
      <c r="G136" s="10"/>
    </row>
    <row r="137" customFormat="false" ht="15" hidden="false" customHeight="false" outlineLevel="0" collapsed="false">
      <c r="E137" s="14" t="n">
        <f aca="false">SUM(E127:E136)</f>
        <v>0</v>
      </c>
    </row>
    <row r="139" customFormat="false" ht="15" hidden="false" customHeight="false" outlineLevel="0" collapsed="false">
      <c r="B139" s="5" t="s">
        <v>25</v>
      </c>
      <c r="C139" s="5" t="s">
        <v>26</v>
      </c>
      <c r="D139" s="5" t="s">
        <v>27</v>
      </c>
      <c r="E139" s="5" t="s">
        <v>28</v>
      </c>
      <c r="F139" s="5" t="s">
        <v>29</v>
      </c>
      <c r="G139" s="5" t="s">
        <v>30</v>
      </c>
    </row>
    <row r="140" customFormat="false" ht="15" hidden="false" customHeight="false" outlineLevel="0" collapsed="false">
      <c r="B140" s="7" t="n">
        <v>1985</v>
      </c>
      <c r="C140" s="8"/>
      <c r="D140" s="8"/>
      <c r="E140" s="3"/>
      <c r="F140" s="11" t="s">
        <v>35</v>
      </c>
      <c r="G140" s="10"/>
    </row>
    <row r="141" customFormat="false" ht="15" hidden="false" customHeight="false" outlineLevel="0" collapsed="false">
      <c r="B141" s="7"/>
      <c r="C141" s="8"/>
      <c r="D141" s="8"/>
      <c r="E141" s="3"/>
      <c r="F141" s="11" t="s">
        <v>35</v>
      </c>
      <c r="G141" s="10"/>
    </row>
    <row r="142" customFormat="false" ht="15" hidden="false" customHeight="false" outlineLevel="0" collapsed="false">
      <c r="B142" s="7"/>
      <c r="C142" s="8"/>
      <c r="D142" s="8"/>
      <c r="E142" s="3"/>
      <c r="F142" s="11" t="s">
        <v>35</v>
      </c>
      <c r="G142" s="10"/>
    </row>
    <row r="143" customFormat="false" ht="15" hidden="false" customHeight="false" outlineLevel="0" collapsed="false">
      <c r="B143" s="7"/>
      <c r="C143" s="8"/>
      <c r="D143" s="8"/>
      <c r="E143" s="3"/>
      <c r="F143" s="11" t="s">
        <v>35</v>
      </c>
      <c r="G143" s="10"/>
    </row>
    <row r="144" customFormat="false" ht="15" hidden="false" customHeight="false" outlineLevel="0" collapsed="false">
      <c r="B144" s="7"/>
      <c r="C144" s="8"/>
      <c r="D144" s="8"/>
      <c r="E144" s="3"/>
      <c r="F144" s="11" t="s">
        <v>35</v>
      </c>
      <c r="G144" s="10"/>
    </row>
    <row r="145" customFormat="false" ht="15" hidden="false" customHeight="false" outlineLevel="0" collapsed="false">
      <c r="B145" s="7"/>
      <c r="C145" s="8"/>
      <c r="D145" s="8"/>
      <c r="E145" s="3"/>
      <c r="F145" s="11" t="s">
        <v>35</v>
      </c>
      <c r="G145" s="10"/>
    </row>
    <row r="146" customFormat="false" ht="15" hidden="false" customHeight="false" outlineLevel="0" collapsed="false">
      <c r="B146" s="7"/>
      <c r="C146" s="8"/>
      <c r="D146" s="8"/>
      <c r="E146" s="3"/>
      <c r="F146" s="11" t="s">
        <v>35</v>
      </c>
      <c r="G146" s="10"/>
    </row>
    <row r="147" customFormat="false" ht="15" hidden="false" customHeight="false" outlineLevel="0" collapsed="false">
      <c r="B147" s="7"/>
      <c r="C147" s="8"/>
      <c r="D147" s="8"/>
      <c r="E147" s="3"/>
      <c r="F147" s="11" t="s">
        <v>35</v>
      </c>
      <c r="G147" s="10"/>
    </row>
    <row r="148" customFormat="false" ht="15" hidden="false" customHeight="false" outlineLevel="0" collapsed="false">
      <c r="B148" s="7"/>
      <c r="C148" s="8"/>
      <c r="D148" s="8"/>
      <c r="E148" s="3"/>
      <c r="F148" s="11" t="s">
        <v>35</v>
      </c>
      <c r="G148" s="10"/>
    </row>
    <row r="149" customFormat="false" ht="15" hidden="false" customHeight="false" outlineLevel="0" collapsed="false">
      <c r="B149" s="7"/>
      <c r="C149" s="8"/>
      <c r="D149" s="8"/>
      <c r="E149" s="3"/>
      <c r="F149" s="11" t="s">
        <v>35</v>
      </c>
      <c r="G149" s="10"/>
    </row>
    <row r="150" customFormat="false" ht="15" hidden="false" customHeight="false" outlineLevel="0" collapsed="false">
      <c r="E150" s="14" t="n">
        <f aca="false">SUM(E140:E149)</f>
        <v>0</v>
      </c>
    </row>
    <row r="152" customFormat="false" ht="15" hidden="false" customHeight="false" outlineLevel="0" collapsed="false">
      <c r="B152" s="5" t="s">
        <v>25</v>
      </c>
      <c r="C152" s="5" t="s">
        <v>26</v>
      </c>
      <c r="D152" s="5" t="s">
        <v>27</v>
      </c>
      <c r="E152" s="5" t="s">
        <v>28</v>
      </c>
      <c r="F152" s="5" t="s">
        <v>29</v>
      </c>
      <c r="G152" s="5" t="s">
        <v>30</v>
      </c>
    </row>
    <row r="153" customFormat="false" ht="15" hidden="false" customHeight="false" outlineLevel="0" collapsed="false">
      <c r="B153" s="7" t="n">
        <v>1984</v>
      </c>
      <c r="C153" s="8"/>
      <c r="D153" s="8"/>
      <c r="E153" s="3"/>
      <c r="F153" s="11" t="s">
        <v>35</v>
      </c>
      <c r="G153" s="10"/>
    </row>
    <row r="154" customFormat="false" ht="15" hidden="false" customHeight="false" outlineLevel="0" collapsed="false">
      <c r="B154" s="7"/>
      <c r="C154" s="8"/>
      <c r="D154" s="8"/>
      <c r="E154" s="3"/>
      <c r="F154" s="11" t="s">
        <v>35</v>
      </c>
      <c r="G154" s="10"/>
    </row>
    <row r="155" customFormat="false" ht="15" hidden="false" customHeight="false" outlineLevel="0" collapsed="false">
      <c r="B155" s="7"/>
      <c r="C155" s="8"/>
      <c r="D155" s="8"/>
      <c r="E155" s="3"/>
      <c r="F155" s="11" t="s">
        <v>35</v>
      </c>
      <c r="G155" s="10"/>
    </row>
    <row r="156" customFormat="false" ht="15" hidden="false" customHeight="false" outlineLevel="0" collapsed="false">
      <c r="B156" s="7"/>
      <c r="C156" s="8"/>
      <c r="D156" s="8"/>
      <c r="E156" s="3"/>
      <c r="F156" s="11" t="s">
        <v>35</v>
      </c>
      <c r="G156" s="10"/>
    </row>
    <row r="157" customFormat="false" ht="15" hidden="false" customHeight="false" outlineLevel="0" collapsed="false">
      <c r="B157" s="7"/>
      <c r="C157" s="8"/>
      <c r="D157" s="8"/>
      <c r="E157" s="3"/>
      <c r="F157" s="11" t="s">
        <v>35</v>
      </c>
      <c r="G157" s="10"/>
    </row>
    <row r="158" customFormat="false" ht="15" hidden="false" customHeight="false" outlineLevel="0" collapsed="false">
      <c r="B158" s="7"/>
      <c r="C158" s="8"/>
      <c r="D158" s="8"/>
      <c r="E158" s="3"/>
      <c r="F158" s="11" t="s">
        <v>35</v>
      </c>
      <c r="G158" s="10"/>
    </row>
    <row r="159" customFormat="false" ht="15" hidden="false" customHeight="false" outlineLevel="0" collapsed="false">
      <c r="B159" s="7"/>
      <c r="C159" s="8"/>
      <c r="D159" s="8"/>
      <c r="E159" s="3"/>
      <c r="F159" s="11" t="s">
        <v>35</v>
      </c>
      <c r="G159" s="10"/>
    </row>
    <row r="160" customFormat="false" ht="15" hidden="false" customHeight="false" outlineLevel="0" collapsed="false">
      <c r="B160" s="7"/>
      <c r="C160" s="8"/>
      <c r="D160" s="8"/>
      <c r="E160" s="3"/>
      <c r="F160" s="11" t="s">
        <v>35</v>
      </c>
      <c r="G160" s="10"/>
    </row>
    <row r="161" customFormat="false" ht="15" hidden="false" customHeight="false" outlineLevel="0" collapsed="false">
      <c r="B161" s="7"/>
      <c r="C161" s="8"/>
      <c r="D161" s="8"/>
      <c r="E161" s="3"/>
      <c r="F161" s="11" t="s">
        <v>35</v>
      </c>
      <c r="G161" s="10"/>
    </row>
    <row r="162" customFormat="false" ht="15" hidden="false" customHeight="false" outlineLevel="0" collapsed="false">
      <c r="B162" s="7"/>
      <c r="C162" s="8"/>
      <c r="D162" s="8"/>
      <c r="E162" s="3"/>
      <c r="F162" s="11" t="s">
        <v>35</v>
      </c>
      <c r="G162" s="10"/>
    </row>
    <row r="163" customFormat="false" ht="15" hidden="false" customHeight="false" outlineLevel="0" collapsed="false">
      <c r="E163" s="14" t="n">
        <f aca="false">SUM(E153:E162)</f>
        <v>0</v>
      </c>
    </row>
    <row r="165" customFormat="false" ht="15" hidden="false" customHeight="false" outlineLevel="0" collapsed="false">
      <c r="B165" s="5" t="s">
        <v>25</v>
      </c>
      <c r="C165" s="5" t="s">
        <v>26</v>
      </c>
      <c r="D165" s="5" t="s">
        <v>27</v>
      </c>
      <c r="E165" s="5" t="s">
        <v>28</v>
      </c>
      <c r="F165" s="5" t="s">
        <v>29</v>
      </c>
      <c r="G165" s="5" t="s">
        <v>30</v>
      </c>
    </row>
    <row r="166" customFormat="false" ht="15" hidden="false" customHeight="false" outlineLevel="0" collapsed="false">
      <c r="B166" s="7" t="n">
        <v>1983</v>
      </c>
      <c r="C166" s="8"/>
      <c r="D166" s="8"/>
      <c r="E166" s="3"/>
      <c r="F166" s="11" t="s">
        <v>35</v>
      </c>
      <c r="G166" s="10"/>
    </row>
    <row r="167" customFormat="false" ht="15" hidden="false" customHeight="false" outlineLevel="0" collapsed="false">
      <c r="B167" s="7"/>
      <c r="C167" s="8"/>
      <c r="D167" s="8"/>
      <c r="E167" s="3"/>
      <c r="F167" s="11" t="s">
        <v>35</v>
      </c>
      <c r="G167" s="10"/>
    </row>
    <row r="168" customFormat="false" ht="15" hidden="false" customHeight="false" outlineLevel="0" collapsed="false">
      <c r="B168" s="7"/>
      <c r="C168" s="8"/>
      <c r="D168" s="8"/>
      <c r="E168" s="3"/>
      <c r="F168" s="11" t="s">
        <v>35</v>
      </c>
      <c r="G168" s="10"/>
    </row>
    <row r="169" customFormat="false" ht="15" hidden="false" customHeight="false" outlineLevel="0" collapsed="false">
      <c r="B169" s="7"/>
      <c r="C169" s="8"/>
      <c r="D169" s="8"/>
      <c r="E169" s="3"/>
      <c r="F169" s="11" t="s">
        <v>35</v>
      </c>
      <c r="G169" s="10"/>
    </row>
    <row r="170" customFormat="false" ht="15" hidden="false" customHeight="false" outlineLevel="0" collapsed="false">
      <c r="B170" s="7"/>
      <c r="C170" s="8"/>
      <c r="D170" s="8"/>
      <c r="E170" s="3"/>
      <c r="F170" s="11" t="s">
        <v>35</v>
      </c>
      <c r="G170" s="10"/>
    </row>
    <row r="171" customFormat="false" ht="15" hidden="false" customHeight="false" outlineLevel="0" collapsed="false">
      <c r="B171" s="7"/>
      <c r="C171" s="8"/>
      <c r="D171" s="8"/>
      <c r="E171" s="3"/>
      <c r="F171" s="11" t="s">
        <v>35</v>
      </c>
      <c r="G171" s="10"/>
    </row>
    <row r="172" customFormat="false" ht="15" hidden="false" customHeight="false" outlineLevel="0" collapsed="false">
      <c r="B172" s="7"/>
      <c r="C172" s="8"/>
      <c r="D172" s="8"/>
      <c r="E172" s="3"/>
      <c r="F172" s="11" t="s">
        <v>35</v>
      </c>
      <c r="G172" s="10"/>
    </row>
    <row r="173" customFormat="false" ht="15" hidden="false" customHeight="false" outlineLevel="0" collapsed="false">
      <c r="B173" s="7"/>
      <c r="C173" s="8"/>
      <c r="D173" s="8"/>
      <c r="E173" s="3"/>
      <c r="F173" s="11" t="s">
        <v>35</v>
      </c>
      <c r="G173" s="10"/>
    </row>
    <row r="174" customFormat="false" ht="15" hidden="false" customHeight="false" outlineLevel="0" collapsed="false">
      <c r="B174" s="7"/>
      <c r="C174" s="8"/>
      <c r="D174" s="8"/>
      <c r="E174" s="3"/>
      <c r="F174" s="11" t="s">
        <v>35</v>
      </c>
      <c r="G174" s="10"/>
    </row>
    <row r="175" customFormat="false" ht="15" hidden="false" customHeight="false" outlineLevel="0" collapsed="false">
      <c r="B175" s="7"/>
      <c r="C175" s="8"/>
      <c r="D175" s="8"/>
      <c r="E175" s="3"/>
      <c r="F175" s="11" t="s">
        <v>35</v>
      </c>
      <c r="G175" s="10"/>
    </row>
    <row r="176" customFormat="false" ht="15" hidden="false" customHeight="false" outlineLevel="0" collapsed="false">
      <c r="E176" s="14" t="n">
        <f aca="false">SUM(E166:E175)</f>
        <v>0</v>
      </c>
    </row>
    <row r="178" customFormat="false" ht="15" hidden="false" customHeight="false" outlineLevel="0" collapsed="false">
      <c r="B178" s="5" t="s">
        <v>25</v>
      </c>
      <c r="C178" s="5" t="s">
        <v>26</v>
      </c>
      <c r="D178" s="5" t="s">
        <v>27</v>
      </c>
      <c r="E178" s="5" t="s">
        <v>28</v>
      </c>
      <c r="F178" s="5" t="s">
        <v>29</v>
      </c>
      <c r="G178" s="5" t="s">
        <v>30</v>
      </c>
    </row>
    <row r="179" customFormat="false" ht="15" hidden="false" customHeight="false" outlineLevel="0" collapsed="false">
      <c r="B179" s="7" t="n">
        <v>1982</v>
      </c>
      <c r="C179" s="8"/>
      <c r="D179" s="8"/>
      <c r="E179" s="3"/>
      <c r="F179" s="11" t="s">
        <v>35</v>
      </c>
      <c r="G179" s="10"/>
    </row>
    <row r="180" customFormat="false" ht="15" hidden="false" customHeight="false" outlineLevel="0" collapsed="false">
      <c r="B180" s="7"/>
      <c r="C180" s="8"/>
      <c r="D180" s="8"/>
      <c r="E180" s="3"/>
      <c r="F180" s="11" t="s">
        <v>35</v>
      </c>
      <c r="G180" s="10"/>
    </row>
    <row r="181" customFormat="false" ht="15" hidden="false" customHeight="false" outlineLevel="0" collapsed="false">
      <c r="B181" s="7"/>
      <c r="C181" s="8"/>
      <c r="D181" s="8"/>
      <c r="E181" s="3"/>
      <c r="F181" s="11" t="s">
        <v>35</v>
      </c>
      <c r="G181" s="10"/>
    </row>
    <row r="182" customFormat="false" ht="15" hidden="false" customHeight="false" outlineLevel="0" collapsed="false">
      <c r="B182" s="7"/>
      <c r="C182" s="8"/>
      <c r="D182" s="8"/>
      <c r="E182" s="3"/>
      <c r="F182" s="11" t="s">
        <v>35</v>
      </c>
      <c r="G182" s="10"/>
    </row>
    <row r="183" customFormat="false" ht="15" hidden="false" customHeight="false" outlineLevel="0" collapsed="false">
      <c r="B183" s="7"/>
      <c r="C183" s="8"/>
      <c r="D183" s="8"/>
      <c r="E183" s="3"/>
      <c r="F183" s="11" t="s">
        <v>35</v>
      </c>
      <c r="G183" s="10"/>
    </row>
    <row r="184" customFormat="false" ht="15" hidden="false" customHeight="false" outlineLevel="0" collapsed="false">
      <c r="B184" s="7"/>
      <c r="C184" s="8"/>
      <c r="D184" s="8"/>
      <c r="E184" s="3"/>
      <c r="F184" s="11" t="s">
        <v>35</v>
      </c>
      <c r="G184" s="10"/>
    </row>
    <row r="185" customFormat="false" ht="15" hidden="false" customHeight="false" outlineLevel="0" collapsed="false">
      <c r="B185" s="7"/>
      <c r="C185" s="8"/>
      <c r="D185" s="8"/>
      <c r="E185" s="3"/>
      <c r="F185" s="11" t="s">
        <v>35</v>
      </c>
      <c r="G185" s="10"/>
    </row>
    <row r="186" customFormat="false" ht="15" hidden="false" customHeight="false" outlineLevel="0" collapsed="false">
      <c r="B186" s="7"/>
      <c r="C186" s="8"/>
      <c r="D186" s="8"/>
      <c r="E186" s="3"/>
      <c r="F186" s="11" t="s">
        <v>35</v>
      </c>
      <c r="G186" s="10"/>
    </row>
    <row r="187" customFormat="false" ht="15" hidden="false" customHeight="false" outlineLevel="0" collapsed="false">
      <c r="B187" s="7"/>
      <c r="C187" s="8"/>
      <c r="D187" s="8"/>
      <c r="E187" s="3"/>
      <c r="F187" s="11" t="s">
        <v>35</v>
      </c>
      <c r="G187" s="10"/>
    </row>
    <row r="188" customFormat="false" ht="15" hidden="false" customHeight="false" outlineLevel="0" collapsed="false">
      <c r="B188" s="7"/>
      <c r="C188" s="8"/>
      <c r="D188" s="8"/>
      <c r="E188" s="3"/>
      <c r="F188" s="11" t="s">
        <v>35</v>
      </c>
      <c r="G188" s="10"/>
    </row>
    <row r="189" customFormat="false" ht="15" hidden="false" customHeight="false" outlineLevel="0" collapsed="false">
      <c r="E189" s="14" t="n">
        <f aca="false">SUM(E179:E188)</f>
        <v>0</v>
      </c>
    </row>
    <row r="191" customFormat="false" ht="15" hidden="false" customHeight="false" outlineLevel="0" collapsed="false">
      <c r="B191" s="5" t="s">
        <v>25</v>
      </c>
      <c r="C191" s="5" t="s">
        <v>26</v>
      </c>
      <c r="D191" s="5" t="s">
        <v>27</v>
      </c>
      <c r="E191" s="5" t="s">
        <v>28</v>
      </c>
      <c r="F191" s="5" t="s">
        <v>29</v>
      </c>
      <c r="G191" s="5" t="s">
        <v>30</v>
      </c>
    </row>
    <row r="192" customFormat="false" ht="15" hidden="false" customHeight="false" outlineLevel="0" collapsed="false">
      <c r="B192" s="7" t="n">
        <v>1981</v>
      </c>
      <c r="C192" s="8" t="s">
        <v>107</v>
      </c>
      <c r="D192" s="8"/>
      <c r="E192" s="3" t="n">
        <f aca="false">(116*14)+(36*1)+(4*13)+(5*2)+7+5+4+11</f>
        <v>1749</v>
      </c>
      <c r="F192" s="11" t="s">
        <v>35</v>
      </c>
      <c r="G192" s="10"/>
    </row>
    <row r="193" customFormat="false" ht="15" hidden="false" customHeight="false" outlineLevel="0" collapsed="false">
      <c r="B193" s="7"/>
      <c r="C193" s="8" t="s">
        <v>108</v>
      </c>
      <c r="D193" s="8"/>
      <c r="E193" s="3"/>
      <c r="F193" s="11" t="s">
        <v>35</v>
      </c>
      <c r="G193" s="10"/>
    </row>
    <row r="194" customFormat="false" ht="15" hidden="false" customHeight="false" outlineLevel="0" collapsed="false">
      <c r="B194" s="7"/>
      <c r="C194" s="8" t="s">
        <v>109</v>
      </c>
      <c r="D194" s="8"/>
      <c r="E194" s="3"/>
      <c r="F194" s="11" t="s">
        <v>35</v>
      </c>
      <c r="G194" s="10"/>
    </row>
    <row r="195" customFormat="false" ht="15" hidden="false" customHeight="false" outlineLevel="0" collapsed="false">
      <c r="B195" s="7"/>
      <c r="C195" s="8" t="s">
        <v>110</v>
      </c>
      <c r="D195" s="8"/>
      <c r="E195" s="3"/>
      <c r="F195" s="11" t="s">
        <v>35</v>
      </c>
      <c r="G195" s="10"/>
    </row>
    <row r="196" customFormat="false" ht="15" hidden="false" customHeight="false" outlineLevel="0" collapsed="false">
      <c r="E196" s="14" t="n">
        <f aca="false">SUM(E192:E195)</f>
        <v>1749</v>
      </c>
    </row>
    <row r="198" customFormat="false" ht="15" hidden="false" customHeight="false" outlineLevel="0" collapsed="false">
      <c r="B198" s="5" t="s">
        <v>25</v>
      </c>
      <c r="C198" s="5" t="s">
        <v>26</v>
      </c>
      <c r="D198" s="5" t="s">
        <v>27</v>
      </c>
      <c r="E198" s="5" t="s">
        <v>28</v>
      </c>
      <c r="F198" s="5" t="s">
        <v>29</v>
      </c>
      <c r="G198" s="5" t="s">
        <v>30</v>
      </c>
    </row>
    <row r="199" customFormat="false" ht="15" hidden="false" customHeight="false" outlineLevel="0" collapsed="false">
      <c r="B199" s="7" t="n">
        <v>1980</v>
      </c>
      <c r="C199" s="8"/>
      <c r="D199" s="8"/>
      <c r="E199" s="3"/>
      <c r="F199" s="11" t="s">
        <v>35</v>
      </c>
      <c r="G199" s="10"/>
    </row>
    <row r="200" customFormat="false" ht="15" hidden="false" customHeight="false" outlineLevel="0" collapsed="false">
      <c r="B200" s="7"/>
      <c r="C200" s="8"/>
      <c r="D200" s="8"/>
      <c r="E200" s="3"/>
      <c r="F200" s="11" t="s">
        <v>35</v>
      </c>
      <c r="G200" s="10"/>
    </row>
    <row r="201" customFormat="false" ht="15" hidden="false" customHeight="false" outlineLevel="0" collapsed="false">
      <c r="B201" s="7"/>
      <c r="C201" s="8"/>
      <c r="D201" s="8"/>
      <c r="E201" s="3"/>
      <c r="F201" s="11" t="s">
        <v>35</v>
      </c>
      <c r="G201" s="10"/>
    </row>
    <row r="202" customFormat="false" ht="15" hidden="false" customHeight="false" outlineLevel="0" collapsed="false">
      <c r="B202" s="7"/>
      <c r="C202" s="8"/>
      <c r="D202" s="8"/>
      <c r="E202" s="3"/>
      <c r="F202" s="11" t="s">
        <v>35</v>
      </c>
      <c r="G202" s="10"/>
    </row>
    <row r="203" customFormat="false" ht="15" hidden="false" customHeight="false" outlineLevel="0" collapsed="false">
      <c r="B203" s="7"/>
      <c r="C203" s="8"/>
      <c r="D203" s="8"/>
      <c r="E203" s="3"/>
      <c r="F203" s="11" t="s">
        <v>35</v>
      </c>
      <c r="G203" s="10"/>
    </row>
    <row r="204" customFormat="false" ht="15" hidden="false" customHeight="false" outlineLevel="0" collapsed="false">
      <c r="B204" s="7"/>
      <c r="C204" s="8"/>
      <c r="D204" s="8"/>
      <c r="E204" s="3"/>
      <c r="F204" s="11" t="s">
        <v>35</v>
      </c>
      <c r="G204" s="10"/>
    </row>
    <row r="205" customFormat="false" ht="15" hidden="false" customHeight="false" outlineLevel="0" collapsed="false">
      <c r="B205" s="7"/>
      <c r="C205" s="8"/>
      <c r="D205" s="8"/>
      <c r="E205" s="3"/>
      <c r="F205" s="11" t="s">
        <v>35</v>
      </c>
      <c r="G205" s="10"/>
    </row>
    <row r="206" customFormat="false" ht="15" hidden="false" customHeight="false" outlineLevel="0" collapsed="false">
      <c r="B206" s="7"/>
      <c r="C206" s="8"/>
      <c r="D206" s="8"/>
      <c r="E206" s="3"/>
      <c r="F206" s="11" t="s">
        <v>35</v>
      </c>
      <c r="G206" s="10"/>
    </row>
    <row r="207" customFormat="false" ht="15" hidden="false" customHeight="false" outlineLevel="0" collapsed="false">
      <c r="B207" s="7"/>
      <c r="C207" s="8"/>
      <c r="D207" s="8"/>
      <c r="E207" s="3"/>
      <c r="F207" s="11" t="s">
        <v>35</v>
      </c>
      <c r="G207" s="10"/>
    </row>
    <row r="208" customFormat="false" ht="15" hidden="false" customHeight="false" outlineLevel="0" collapsed="false">
      <c r="B208" s="7"/>
      <c r="C208" s="8"/>
      <c r="D208" s="8"/>
      <c r="E208" s="3"/>
      <c r="F208" s="11" t="s">
        <v>35</v>
      </c>
      <c r="G208" s="10"/>
    </row>
    <row r="209" customFormat="false" ht="15" hidden="false" customHeight="false" outlineLevel="0" collapsed="false">
      <c r="E209" s="14" t="n">
        <f aca="false">SUM(E199:E208)</f>
        <v>0</v>
      </c>
    </row>
    <row r="211" customFormat="false" ht="15" hidden="false" customHeight="false" outlineLevel="0" collapsed="false">
      <c r="E211" s="14"/>
    </row>
  </sheetData>
  <mergeCells count="18">
    <mergeCell ref="B3:B14"/>
    <mergeCell ref="B18:B25"/>
    <mergeCell ref="B29:B36"/>
    <mergeCell ref="B40:B45"/>
    <mergeCell ref="B49:B55"/>
    <mergeCell ref="B59:B64"/>
    <mergeCell ref="B68:B73"/>
    <mergeCell ref="B77:B84"/>
    <mergeCell ref="B88:B97"/>
    <mergeCell ref="B101:B110"/>
    <mergeCell ref="B114:B123"/>
    <mergeCell ref="B127:B136"/>
    <mergeCell ref="B140:B149"/>
    <mergeCell ref="B153:B162"/>
    <mergeCell ref="B166:B175"/>
    <mergeCell ref="B179:B188"/>
    <mergeCell ref="B192:B195"/>
    <mergeCell ref="B199:B20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en-AU</dc:language>
  <cp:lastModifiedBy/>
  <dcterms:modified xsi:type="dcterms:W3CDTF">2026-08-13T22:12:41Z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